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الفهرس" sheetId="2" state="visible" r:id="rId2"/>
    <sheet xmlns:r="http://schemas.openxmlformats.org/officeDocument/2006/relationships" name="CAND-2026-001" sheetId="3" state="visible" r:id="rId3"/>
    <sheet xmlns:r="http://schemas.openxmlformats.org/officeDocument/2006/relationships" name="CAND-2026-002" sheetId="4" state="visible" r:id="rId4"/>
    <sheet xmlns:r="http://schemas.openxmlformats.org/officeDocument/2006/relationships" name="CAND-2026-003" sheetId="5" state="visible" r:id="rId5"/>
    <sheet xmlns:r="http://schemas.openxmlformats.org/officeDocument/2006/relationships" name="CAND-2026-004" sheetId="6" state="visible" r:id="rId6"/>
    <sheet xmlns:r="http://schemas.openxmlformats.org/officeDocument/2006/relationships" name="CAND-2026-005" sheetId="7" state="visible" r:id="rId7"/>
    <sheet xmlns:r="http://schemas.openxmlformats.org/officeDocument/2006/relationships" name="CAND-2026-006" sheetId="8" state="visible" r:id="rId8"/>
    <sheet xmlns:r="http://schemas.openxmlformats.org/officeDocument/2006/relationships" name="CAND-2026-007" sheetId="9" state="visible" r:id="rId9"/>
    <sheet xmlns:r="http://schemas.openxmlformats.org/officeDocument/2006/relationships" name="CAND-2026-008" sheetId="10" state="visible" r:id="rId10"/>
    <sheet xmlns:r="http://schemas.openxmlformats.org/officeDocument/2006/relationships" name="CAND-2026-009" sheetId="11" state="visible" r:id="rId11"/>
    <sheet xmlns:r="http://schemas.openxmlformats.org/officeDocument/2006/relationships" name="CAND-2026-010" sheetId="12" state="visible" r:id="rId12"/>
    <sheet xmlns:r="http://schemas.openxmlformats.org/officeDocument/2006/relationships" name="CAND-2026-011" sheetId="13" state="visible" r:id="rId13"/>
    <sheet xmlns:r="http://schemas.openxmlformats.org/officeDocument/2006/relationships" name="CAND-2026-012" sheetId="14" state="visible" r:id="rId14"/>
    <sheet xmlns:r="http://schemas.openxmlformats.org/officeDocument/2006/relationships" name="CAND-2026-013" sheetId="15" state="visible" r:id="rId15"/>
    <sheet xmlns:r="http://schemas.openxmlformats.org/officeDocument/2006/relationships" name="CAND-2026-014" sheetId="16" state="visible" r:id="rId16"/>
    <sheet xmlns:r="http://schemas.openxmlformats.org/officeDocument/2006/relationships" name="CAND-2026-015" sheetId="17" state="visible" r:id="rId17"/>
    <sheet xmlns:r="http://schemas.openxmlformats.org/officeDocument/2006/relationships" name="CAND-2026-016" sheetId="18" state="visible" r:id="rId18"/>
    <sheet xmlns:r="http://schemas.openxmlformats.org/officeDocument/2006/relationships" name="CAND-2026-017" sheetId="19" state="visible" r:id="rId19"/>
    <sheet xmlns:r="http://schemas.openxmlformats.org/officeDocument/2006/relationships" name="CAND-2026-018" sheetId="20" state="visible" r:id="rId20"/>
    <sheet xmlns:r="http://schemas.openxmlformats.org/officeDocument/2006/relationships" name="CAND-2026-019" sheetId="21" state="visible" r:id="rId21"/>
    <sheet xmlns:r="http://schemas.openxmlformats.org/officeDocument/2006/relationships" name="CAND-2026-020" sheetId="22" state="visible" r:id="rId22"/>
    <sheet xmlns:r="http://schemas.openxmlformats.org/officeDocument/2006/relationships" name="CAND-2026-021" sheetId="23" state="visible" r:id="rId23"/>
    <sheet xmlns:r="http://schemas.openxmlformats.org/officeDocument/2006/relationships" name="CAND-2026-022" sheetId="24" state="visible" r:id="rId24"/>
    <sheet xmlns:r="http://schemas.openxmlformats.org/officeDocument/2006/relationships" name="CAND-2026-023" sheetId="25" state="visible" r:id="rId25"/>
    <sheet xmlns:r="http://schemas.openxmlformats.org/officeDocument/2006/relationships" name="CAND-2026-024" sheetId="26" state="visible" r:id="rId26"/>
    <sheet xmlns:r="http://schemas.openxmlformats.org/officeDocument/2006/relationships" name="CAND-2026-025" sheetId="27" state="visible" r:id="rId27"/>
    <sheet xmlns:r="http://schemas.openxmlformats.org/officeDocument/2006/relationships" name="CAND-2026-026" sheetId="28" state="visible" r:id="rId28"/>
    <sheet xmlns:r="http://schemas.openxmlformats.org/officeDocument/2006/relationships" name="CAND-2026-027" sheetId="29" state="visible" r:id="rId29"/>
    <sheet xmlns:r="http://schemas.openxmlformats.org/officeDocument/2006/relationships" name="CAND-2026-028" sheetId="30" state="visible" r:id="rId30"/>
    <sheet xmlns:r="http://schemas.openxmlformats.org/officeDocument/2006/relationships" name="CAND-2026-029" sheetId="31" state="visible" r:id="rId31"/>
    <sheet xmlns:r="http://schemas.openxmlformats.org/officeDocument/2006/relationships" name="CAND-2026-030" sheetId="32" state="visible" r:id="rId32"/>
    <sheet xmlns:r="http://schemas.openxmlformats.org/officeDocument/2006/relationships" name="CAND-2026-031" sheetId="33" state="visible" r:id="rId33"/>
    <sheet xmlns:r="http://schemas.openxmlformats.org/officeDocument/2006/relationships" name="CAND-2026-032" sheetId="34" state="visible" r:id="rId34"/>
    <sheet xmlns:r="http://schemas.openxmlformats.org/officeDocument/2006/relationships" name="CAND-2026-033" sheetId="35" state="visible" r:id="rId35"/>
    <sheet xmlns:r="http://schemas.openxmlformats.org/officeDocument/2006/relationships" name="CAND-2026-034" sheetId="36" state="visible" r:id="rId36"/>
    <sheet xmlns:r="http://schemas.openxmlformats.org/officeDocument/2006/relationships" name="CAND-2026-035" sheetId="37" state="visible" r:id="rId37"/>
    <sheet xmlns:r="http://schemas.openxmlformats.org/officeDocument/2006/relationships" name="CAND-2026-036" sheetId="38" state="visible" r:id="rId3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font>
    <font>
      <name val="Calibri"/>
      <b val="1"/>
      <color rgb="00FFFFFF"/>
      <sz val="18"/>
    </font>
    <font>
      <name val="Calibri"/>
      <color rgb="001F1F1F"/>
    </font>
    <font>
      <name val="Calibri"/>
      <b val="1"/>
      <color rgb="001F4E78"/>
    </font>
    <font>
      <name val="Calibri"/>
      <b val="1"/>
      <color rgb="000563C1"/>
    </font>
    <font>
      <name val="Calibri"/>
      <b val="1"/>
      <color rgb="00FFFFFF"/>
      <sz val="16"/>
    </font>
    <font>
      <name val="Calibri"/>
      <b val="1"/>
      <color rgb="001F1F1F"/>
    </font>
  </fonts>
  <fills count="6">
    <fill>
      <patternFill/>
    </fill>
    <fill>
      <patternFill patternType="gray125"/>
    </fill>
    <fill>
      <patternFill patternType="solid">
        <fgColor rgb="005B9BD5"/>
      </patternFill>
    </fill>
    <fill>
      <patternFill patternType="solid">
        <fgColor rgb="001F4E78"/>
      </patternFill>
    </fill>
    <fill>
      <patternFill patternType="solid">
        <fgColor rgb="00EAF2F8"/>
      </patternFill>
    </fill>
    <fill>
      <patternFill patternType="solid">
        <fgColor rgb="00F3F6F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xf>
    <xf numFmtId="0" fontId="1" fillId="2" borderId="0" applyAlignment="1" pivotButton="0" quotePrefix="0" xfId="0">
      <alignment horizontal="center" vertical="center"/>
    </xf>
    <xf numFmtId="0" fontId="0" fillId="0" borderId="0" applyAlignment="1" pivotButton="0" quotePrefix="0" xfId="0">
      <alignment horizontal="center" vertical="center" wrapText="1"/>
    </xf>
    <xf numFmtId="0" fontId="5" fillId="0" borderId="0" applyAlignment="1" pivotButton="0" quotePrefix="0" xfId="0">
      <alignment vertical="center" wrapText="1"/>
    </xf>
    <xf numFmtId="0" fontId="0" fillId="0" borderId="0" applyAlignment="1" pivotButton="0" quotePrefix="0" xfId="0">
      <alignment horizontal="right" vertical="center" wrapText="1"/>
    </xf>
    <xf numFmtId="0" fontId="6" fillId="3" borderId="0" applyAlignment="1" pivotButton="0" quotePrefix="0" xfId="0">
      <alignment horizontal="center" vertical="center"/>
    </xf>
    <xf numFmtId="0" fontId="5" fillId="4" borderId="0" applyAlignment="1" pivotButton="0" quotePrefix="0" xfId="0">
      <alignment horizontal="center" vertical="center"/>
    </xf>
    <xf numFmtId="0" fontId="1" fillId="2" borderId="0" applyAlignment="1" pivotButton="0" quotePrefix="0" xfId="0">
      <alignment horizontal="right" vertical="center" wrapText="1"/>
    </xf>
    <xf numFmtId="0" fontId="7"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7"/>
  <sheetViews>
    <sheetView workbookViewId="0">
      <pane ySplit="1" topLeftCell="A2" activePane="bottomLeft" state="frozen"/>
      <selection pane="bottomLeft" activeCell="A1" sqref="A1"/>
    </sheetView>
  </sheetViews>
  <sheetFormatPr baseColWidth="8" defaultRowHeight="15"/>
  <cols>
    <col width="15" customWidth="1" min="1" max="1"/>
    <col width="38" customWidth="1" min="2" max="2"/>
    <col width="35" customWidth="1" min="3" max="3"/>
    <col width="36" customWidth="1" min="4" max="4"/>
    <col width="10" customWidth="1" min="5" max="5"/>
    <col width="50" customWidth="1" min="6" max="6"/>
    <col width="46" customWidth="1" min="7" max="7"/>
    <col width="50" customWidth="1" min="8" max="8"/>
    <col width="21" customWidth="1" min="9" max="9"/>
    <col width="11" customWidth="1" min="10" max="10"/>
    <col width="10" customWidth="1" min="11" max="11"/>
    <col width="20" customWidth="1" min="12" max="12"/>
    <col width="17" customWidth="1" min="13" max="13"/>
    <col width="22" customWidth="1" min="14" max="14"/>
    <col width="16" customWidth="1" min="15" max="15"/>
    <col width="32"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18" customWidth="1" min="30" max="30"/>
  </cols>
  <sheetData>
    <row r="1">
      <c r="A1" s="1" t="inlineStr">
        <is>
          <t>Code</t>
        </is>
      </c>
      <c r="B1" s="1" t="inlineStr">
        <is>
          <t>Full Name</t>
        </is>
      </c>
      <c r="C1" s="1" t="inlineStr">
        <is>
          <t>Email</t>
        </is>
      </c>
      <c r="D1" s="1" t="inlineStr">
        <is>
          <t>Phone</t>
        </is>
      </c>
      <c r="E1" s="1" t="inlineStr">
        <is>
          <t>Age</t>
        </is>
      </c>
      <c r="F1" s="1" t="inlineStr">
        <is>
          <t>LinkedIn</t>
        </is>
      </c>
      <c r="G1" s="1" t="inlineStr">
        <is>
          <t>Location</t>
        </is>
      </c>
      <c r="H1" s="1" t="inlineStr">
        <is>
          <t>Current Position</t>
        </is>
      </c>
      <c r="I1" s="1" t="inlineStr">
        <is>
          <t>Applied Job</t>
        </is>
      </c>
      <c r="J1" s="1" t="inlineStr">
        <is>
          <t>Status</t>
        </is>
      </c>
      <c r="K1" s="1" t="inlineStr">
        <is>
          <t>Rating</t>
        </is>
      </c>
      <c r="L1" s="1" t="inlineStr">
        <is>
          <t>Experience (Years)</t>
        </is>
      </c>
      <c r="M1" s="1" t="inlineStr">
        <is>
          <t>Expected Salary</t>
        </is>
      </c>
      <c r="N1" s="1" t="inlineStr">
        <is>
          <t>Notice Period (Days)</t>
        </is>
      </c>
      <c r="O1" s="1" t="inlineStr">
        <is>
          <t>Marital Status</t>
        </is>
      </c>
      <c r="P1" s="1" t="inlineStr">
        <is>
          <t>Military Status</t>
        </is>
      </c>
      <c r="Q1" s="1" t="inlineStr">
        <is>
          <t>Languages</t>
        </is>
      </c>
      <c r="R1" s="1" t="inlineStr">
        <is>
          <t>Education</t>
        </is>
      </c>
      <c r="S1" s="1" t="inlineStr">
        <is>
          <t>Technical Skills</t>
        </is>
      </c>
      <c r="T1" s="1" t="inlineStr">
        <is>
          <t>Computer Skills</t>
        </is>
      </c>
      <c r="U1" s="1" t="inlineStr">
        <is>
          <t>Managerial Skills</t>
        </is>
      </c>
      <c r="V1" s="1" t="inlineStr">
        <is>
          <t>Soft Skills</t>
        </is>
      </c>
      <c r="W1" s="1" t="inlineStr">
        <is>
          <t>Other Skills</t>
        </is>
      </c>
      <c r="X1" s="1" t="inlineStr">
        <is>
          <t>Previous Positions</t>
        </is>
      </c>
      <c r="Y1" s="1" t="inlineStr">
        <is>
          <t>Industries</t>
        </is>
      </c>
      <c r="Z1" s="1" t="inlineStr">
        <is>
          <t>Previous Companies</t>
        </is>
      </c>
      <c r="AA1" s="1" t="inlineStr">
        <is>
          <t>Summary</t>
        </is>
      </c>
      <c r="AB1" s="1" t="inlineStr">
        <is>
          <t>Recruiter Notes</t>
        </is>
      </c>
      <c r="AC1" s="1" t="inlineStr">
        <is>
          <t>Source File</t>
        </is>
      </c>
      <c r="AD1" s="1" t="inlineStr">
        <is>
          <t>Created At</t>
        </is>
      </c>
    </row>
    <row r="2">
      <c r="A2" t="inlineStr">
        <is>
          <t>CAND-2026-001</t>
        </is>
      </c>
      <c r="B2" t="inlineStr">
        <is>
          <t>AMR IBRAHIM</t>
        </is>
      </c>
      <c r="C2" t="inlineStr">
        <is>
          <t>3mribrhm@gmail.com</t>
        </is>
      </c>
      <c r="D2" t="inlineStr">
        <is>
          <t>'+20 100 416 0526</t>
        </is>
      </c>
      <c r="E2" t="n">
        <v/>
      </c>
      <c r="F2" t="n">
        <v/>
      </c>
      <c r="G2" t="inlineStr">
        <is>
          <t>Zagazig City, Sharqia, Egypt</t>
        </is>
      </c>
      <c r="H2" t="inlineStr">
        <is>
          <t>Factory Manager</t>
        </is>
      </c>
      <c r="I2" t="n">
        <v/>
      </c>
      <c r="J2" t="inlineStr">
        <is>
          <t>New</t>
        </is>
      </c>
      <c r="K2" t="n">
        <v/>
      </c>
      <c r="L2" t="n">
        <v>14.2</v>
      </c>
      <c r="M2" t="n">
        <v/>
      </c>
      <c r="O2" t="n">
        <v/>
      </c>
      <c r="P2" t="n">
        <v/>
      </c>
      <c r="Q2" t="inlineStr"/>
      <c r="R2" t="inlineStr">
        <is>
          <t>Bachelor’s degree — metallurgical engineering — Al-Azhar University, Nasr City, Cairo, Egypt</t>
        </is>
      </c>
      <c r="S2" t="inlineStr">
        <is>
          <t>Plastic Extrusion (PPR, PPH, PVC), Injection Molding &amp; Socket Fusion Welding, Rotogravure Printing (8-Color Systems), PVC Granulation and Lamination, Cold Box Core and Jolt-Squeeze Molding, Heat Treatment Furnace Operation, Spectrometry and Metallurgical Testing, ISO 9001 Implementation &amp; Auditing, Pattern Making (Wood, Metal, Resin), Liquid Penetrant Testing &amp; Welding Inspection</t>
        </is>
      </c>
      <c r="T2" t="inlineStr">
        <is>
          <t>ERP</t>
        </is>
      </c>
      <c r="U2" t="inlineStr">
        <is>
          <t>Production Planning, Workforce Coordination, Staff Recruitment, Inventory Control, R&amp;D</t>
        </is>
      </c>
      <c r="V2" t="inlineStr">
        <is>
          <t>Leadership &amp; Team Management, Strategic Planning, Problem Solving &amp; Decision Making, Effective Communication, Time Management, Staff Training &amp; Development, Conflict Resolution, Adaptability to Change, Negotiation Skills, Cross-Departmental Coordination</t>
        </is>
      </c>
      <c r="W2" t="inlineStr"/>
      <c r="X2" t="inlineStr">
        <is>
          <t>Factory Manager, Production Manager, Operation Manager, Production Engineer</t>
        </is>
      </c>
      <c r="Y2" t="inlineStr">
        <is>
          <t>plastics, metals, plastic injection molding, foundry</t>
        </is>
      </c>
      <c r="Z2" t="inlineStr">
        <is>
          <t>C TORCH EGYPT, Sobihy Makkah for Plastic, National Foundry for Pumps, Ingaz Factory for Casting, Military Factory 100</t>
        </is>
      </c>
      <c r="AA2" t="inlineStr">
        <is>
          <t>Results-oriented manufacturing executive and Factory Manager with over 10 years of hands-on experience in setting up and managing industrial operations across plastics, metals. Metallurgical Engineer with a proven track record in optimizing production lines, improving product quality, and reducing operational waste. Adept at leading cross-functional teams, implementing ISO 9001 quality systems and ERP solutions, and introducing new technologies to boost productivity and cost-efficiency. Recognized for strategic planning, technical leadership, and a commitment to continuous improvement, safety, and sustainable growth.</t>
        </is>
      </c>
      <c r="AB2" t="n">
        <v/>
      </c>
      <c r="AC2" t="inlineStr">
        <is>
          <t>Amr_Ibrahim_factory manager_CV.pdf</t>
        </is>
      </c>
      <c r="AD2" t="inlineStr">
        <is>
          <t>2026-09-24 06:59</t>
        </is>
      </c>
    </row>
    <row r="3">
      <c r="A3" t="inlineStr">
        <is>
          <t>CAND-2026-002</t>
        </is>
      </c>
      <c r="B3" t="inlineStr">
        <is>
          <t>أحمد محمود النجار</t>
        </is>
      </c>
      <c r="C3" t="inlineStr">
        <is>
          <t>ahmcd2312@gmail.com</t>
        </is>
      </c>
      <c r="D3" t="inlineStr">
        <is>
          <t>01021446922</t>
        </is>
      </c>
      <c r="E3" t="n">
        <v>53</v>
      </c>
      <c r="F3" t="n">
        <v/>
      </c>
      <c r="G3" t="inlineStr">
        <is>
          <t>دار مصر، مدينة العاشر من رمضان، مصر</t>
        </is>
      </c>
      <c r="H3" t="inlineStr">
        <is>
          <t>مساعد مدير اإلنتاج</t>
        </is>
      </c>
      <c r="I3" t="n">
        <v/>
      </c>
      <c r="J3" t="inlineStr">
        <is>
          <t>New</t>
        </is>
      </c>
      <c r="K3" t="n">
        <v/>
      </c>
      <c r="L3" t="n">
        <v>21.7</v>
      </c>
      <c r="M3" t="n">
        <v/>
      </c>
      <c r="O3" t="n">
        <v/>
      </c>
      <c r="P3" t="n">
        <v/>
      </c>
      <c r="Q3" t="inlineStr"/>
      <c r="R3" t="inlineStr">
        <is>
          <t>بكالوريوس العلوم — كيمياء عامة — جامعة الزقازيق; الماجستير المهني المصغر في إدارة األعمال Mini MBA — اإلدارة االستراتيجية والتشغيلية; الشهادة المهنية في إدارة المستودعات والمخازن — جامعة عين شمس</t>
        </is>
      </c>
      <c r="S3" t="inlineStr">
        <is>
          <t>تخطيط اإلنتاج, الجدولة, تطوير وتوازن خطوط اإلنتاج, GMP, HACCP, ISO, تفتيشات وزارة الصحة, Waste Reduction, خفض التكاليف, SOPs, مراقبة المخزون, صرف وتوزين المواد الخام, التنبؤ بحجم الطلب, GMP / cGMP, Six Sigma, QA, Sterile Areas, Validation, Batch Records, أخذ ووزن الخامات, OHS</t>
        </is>
      </c>
      <c r="T3" t="inlineStr">
        <is>
          <t>Oracle EBS R12.2, SAP, إكسيل متقدم, Oracle R12.2, Oracle Inventory Management Fundamentals R12.2, SAP Systems, ERP</t>
        </is>
      </c>
      <c r="U3" t="inlineStr">
        <is>
          <t>إدارة اإلنتاج, إدارة المخازن وصرف المواد الخام, تدريب ورفع كفاءة فرق العمل, تقييم األداء, إدارة مدخالت البيانات اليومية, إدارة مخازن المواد الخام والمنتجات التامة الصنع, تجهيز المصنع, تطوير نظم تكويد وتتبع دقيقة للمواد, إدارة عمليات معايرة والأجهزة والماكينات</t>
        </is>
      </c>
      <c r="V3" t="inlineStr">
        <is>
          <t>مهارات التواصل, القيادة, التواصل الفعال</t>
        </is>
      </c>
      <c r="W3" t="inlineStr"/>
      <c r="X3" t="inlineStr">
        <is>
          <t>مساعد مدير اإلنتاج, رئيس قسم المخازن وصرف المواد الخام, رئيس قسم توكيد الجودة QA</t>
        </is>
      </c>
      <c r="Y3" t="inlineStr">
        <is>
          <t>الصناعات الدوائية</t>
        </is>
      </c>
      <c r="Z3" t="inlineStr">
        <is>
          <t>شركة أوتسوكا للمستحضرات الدوائية, شركة مصر أوتسوكا للمستحضرات الدوائية</t>
        </is>
      </c>
      <c r="AA3" t="inlineStr">
        <is>
          <t>االشراف على الانتاج والعمليات بخبرة تتجاوز 5 سنوات في قطاع الصناعات الدوائية، وخلفية قوية في مجاالت توكيد الجودة (QA)، إدارة الإنتاج، وسالسل الإمداد العمل على تقليل الهدر وحاصل على الحزام الأخضر في Lean Six Sigma. أمتلك معرفة عميقة بتطبيق معايير التصنيع الجيد GMP/cGMP ونظام الـ (HACCP). محترف في العمل على أنظمة الـ ERP الكبرى مثل Oracle R12.2 &amp; SAP، وحاصالً على الميني MBA، مما يمنحني مهارة متميزة في قيادة فرق العمل، وزيادة الإنتاجية بالمصانع.</t>
        </is>
      </c>
      <c r="AB3" t="n">
        <v/>
      </c>
      <c r="AC3" t="inlineStr">
        <is>
          <t>cv mf.pdf</t>
        </is>
      </c>
      <c r="AD3" t="inlineStr">
        <is>
          <t>2026-09-24 06:59</t>
        </is>
      </c>
    </row>
    <row r="4">
      <c r="A4" t="inlineStr">
        <is>
          <t>CAND-2026-003</t>
        </is>
      </c>
      <c r="B4" t="inlineStr">
        <is>
          <t>موسى صبرى عدلى سالمة</t>
        </is>
      </c>
      <c r="C4" t="inlineStr">
        <is>
          <t>mosasabry60@gmail.com</t>
        </is>
      </c>
      <c r="D4" t="inlineStr">
        <is>
          <t>01287535077</t>
        </is>
      </c>
      <c r="E4" t="n">
        <v>34</v>
      </c>
      <c r="F4" t="inlineStr">
        <is>
          <t>https://www.linkedin.com/in/mosa-sabry-9867a8151</t>
        </is>
      </c>
      <c r="G4" t="inlineStr">
        <is>
          <t>العاشر من رمضان، الشرقية، مصر</t>
        </is>
      </c>
      <c r="H4" t="inlineStr">
        <is>
          <t>مدير تخطيط ومتابعة الإنتاج</t>
        </is>
      </c>
      <c r="I4" t="n">
        <v/>
      </c>
      <c r="J4" t="inlineStr">
        <is>
          <t>New</t>
        </is>
      </c>
      <c r="K4" t="n">
        <v/>
      </c>
      <c r="L4" t="n">
        <v>13.7</v>
      </c>
      <c r="M4" t="n">
        <v/>
      </c>
      <c r="O4" t="n">
        <v/>
      </c>
      <c r="P4" t="n">
        <v/>
      </c>
      <c r="Q4" t="inlineStr">
        <is>
          <t>العربية (اللغة الأم), اإنجليزية (جيد جدًا), روسى (أساسي), المانى (أساسي), الصينية (قيد التعلم حاليًا)</t>
        </is>
      </c>
      <c r="R4" t="inlineStr">
        <is>
          <t>ليسانس آداب — الآثار المصرية — جامعة سوهاج، مصر</t>
        </is>
      </c>
      <c r="S4" t="inlineStr">
        <is>
          <t>تخطيط وجدولة الإنتاج, تخطيط احتياجات المواد MRP, إدارة سلسلة الإمداد, تخطيط الطلب, إدارة المخزون والمواد الخام, منهجية Lean (5S), Six Sigma, تحليل الفجوات GAP Analysis, أداة SIRI لتقييم جاهزية المصانع, خفض التكاليف والهالك, التحليل المالي والبيانات, التخطيط الاستراتيجي</t>
        </is>
      </c>
      <c r="T4" t="inlineStr">
        <is>
          <t>Microsoft Excel, SAP, Odoo, Comsys, Onyx Pro, QuickBooks, Peachtree, الافضل, Alfdal, AI</t>
        </is>
      </c>
      <c r="U4" t="inlineStr">
        <is>
          <t>إدارة فريق التخطيط والإشراف على الجدولة, وضع خطط استراتيجية شاملة, توجيه استخدام الموارد المالية والبشرية, تنظيم الجرد السنوي, وضع خطة طلب المواد الخام, وضع خطة التشغيل السنوية, إدارة العمليات المحاسبية والسجالت المالية, إدارة مخزون المواد الكيماوية الخام</t>
        </is>
      </c>
      <c r="V4" t="inlineStr">
        <is>
          <t>القيادة وإدارة الفرق, التواصل الفعال, القدرة على التواصل مع مختلف أنماط الأشخاص, تحمل ضغوط العمل وتقبل آراء الآخرين, حل المشكلات, التحليل, سرعة التعلم أثناء العمل</t>
        </is>
      </c>
      <c r="W4" t="inlineStr"/>
      <c r="X4" t="inlineStr">
        <is>
          <t>مدير تخطيط ومتابعة الإنتاج, مدير تنفيذي CEO, أخصائي أول سلسلة إمداد وتخطيط MRP, أخصائي تخطيط وسلسلة إمداد MRP - مبتدئ, مدير مخازن كيماويات, محاسب, مراقب جودة</t>
        </is>
      </c>
      <c r="Y4" t="inlineStr">
        <is>
          <t>النسيج, الزجاج, الأثاث, الصناعات الكهربائية, أثاث خشبي ومعدني, صناعات كهربائية وإضاءة حديثة, بطاطين</t>
        </is>
      </c>
      <c r="Z4" t="inlineStr">
        <is>
          <t>Hanimex, SKD, La Roche / Mehrez &amp; Krema / Nana Secret, الريمون نيو تكس, وردة تكس, نيو نجيح تكس, سيرو سمارت للأثاث</t>
        </is>
      </c>
      <c r="AA4" t="inlineStr">
        <is>
          <t>مدير تخطيط وسلسلة إمداد بخبرة تزيد عن 10 سنوات في قطاع الصناعة شملت النسيج والزجاج والأثاث والصناعات الكهربائية، منها أكثر من 5 سنوات متخصصة في تخطيط سلسلة الإمداد MRP، وسنة خبرة في الإدارة التنفيذية.</t>
        </is>
      </c>
      <c r="AB4" t="n">
        <v/>
      </c>
      <c r="AC4" t="inlineStr">
        <is>
          <t>cv arb.pdf</t>
        </is>
      </c>
      <c r="AD4" t="inlineStr">
        <is>
          <t>2026-09-24 06:59</t>
        </is>
      </c>
    </row>
    <row r="5">
      <c r="A5" t="inlineStr">
        <is>
          <t>CAND-2026-004</t>
        </is>
      </c>
      <c r="B5" t="inlineStr">
        <is>
          <t>Amr Shaaban Amin</t>
        </is>
      </c>
      <c r="C5" t="inlineStr">
        <is>
          <t>amr_do2010@yahoo.com</t>
        </is>
      </c>
      <c r="D5" t="inlineStr">
        <is>
          <t>01143407536</t>
        </is>
      </c>
      <c r="E5" t="n">
        <v>35</v>
      </c>
      <c r="F5" t="n">
        <v/>
      </c>
      <c r="G5" t="inlineStr">
        <is>
          <t>Capital Gardens - cairo-egypt</t>
        </is>
      </c>
      <c r="H5" t="inlineStr">
        <is>
          <t>Plant Manager</t>
        </is>
      </c>
      <c r="I5" t="n">
        <v/>
      </c>
      <c r="J5" t="inlineStr">
        <is>
          <t>New</t>
        </is>
      </c>
      <c r="K5" t="n">
        <v/>
      </c>
      <c r="L5" t="n">
        <v>14.2</v>
      </c>
      <c r="M5" t="n">
        <v/>
      </c>
      <c r="O5" t="inlineStr">
        <is>
          <t>Married</t>
        </is>
      </c>
      <c r="P5" t="inlineStr">
        <is>
          <t>Exempted</t>
        </is>
      </c>
      <c r="Q5" t="inlineStr">
        <is>
          <t>Arabic (Mother tongue), English (good writing , speaking)</t>
        </is>
      </c>
      <c r="R5" t="inlineStr">
        <is>
          <t>B.Sc. — Accounting — Azhar university, Cairo, Egypt; Master's Degree — Supply Chain Management — Arab Academy for Science, Technology and Maritime Transport (AASTMT)</t>
        </is>
      </c>
      <c r="S5" t="inlineStr">
        <is>
          <t>Lean Manufacturing, Six Sigma, OEE, Production Planning, Inventory Management, Procurement, Supply Chain Management, Quality Control, Preventive Maintenance, BOM Creation, Cost Calculation</t>
        </is>
      </c>
      <c r="T5" t="inlineStr">
        <is>
          <t>Microsoft Office, Word, Excel, PowerPoint, Internet Search, Outlook, ERP system, Softex, Double Click, Odoo, ICDL</t>
        </is>
      </c>
      <c r="U5" t="inlineStr">
        <is>
          <t>Plant Operations Management, Team Leadership, Process Optimization, KPI Monitoring, Supplier Management, Project Management, Training and Coaching, Cross-Functional Coordination</t>
        </is>
      </c>
      <c r="V5" t="inlineStr">
        <is>
          <t>Problem Solving, Negotiation, Communication, Work Under Pressure, Teamwork, Flexibility, Presentation</t>
        </is>
      </c>
      <c r="W5" t="inlineStr"/>
      <c r="X5" t="inlineStr">
        <is>
          <t>Plant Manager, Supply Chain Manager, Planning manager, Planning Specialist</t>
        </is>
      </c>
      <c r="Y5" t="inlineStr">
        <is>
          <t>Electric Appliances Industry, Home Appliances, Pipes Technology &amp; Fittings</t>
        </is>
      </c>
      <c r="Z5" t="inlineStr">
        <is>
          <t>Media for Electric Appliances Industry – BRAVO, GTec group for home appliances, The Egyptian company for pipes technology &amp; fittings.</t>
        </is>
      </c>
      <c r="AA5" t="inlineStr">
        <is>
          <t>Supply Chain Manager seeking an opportunity in a reputable multinational organization where educational background and skills can be developed.</t>
        </is>
      </c>
      <c r="AB5" t="n">
        <v/>
      </c>
      <c r="AC5" t="inlineStr">
        <is>
          <t>Amr shaaban cv septemper 2026.pdf</t>
        </is>
      </c>
      <c r="AD5" t="inlineStr">
        <is>
          <t>2026-09-24 06:59</t>
        </is>
      </c>
    </row>
    <row r="6">
      <c r="A6" t="inlineStr">
        <is>
          <t>CAND-2026-005</t>
        </is>
      </c>
      <c r="B6" t="inlineStr">
        <is>
          <t>محمد فكرى أحمد</t>
        </is>
      </c>
      <c r="C6" t="inlineStr">
        <is>
          <t>2mea2015@hotmail.com</t>
        </is>
      </c>
      <c r="D6" t="inlineStr">
        <is>
          <t>'+201092995252</t>
        </is>
      </c>
      <c r="E6" t="n">
        <v>44</v>
      </c>
      <c r="F6" t="n">
        <v/>
      </c>
      <c r="G6" t="inlineStr">
        <is>
          <t>10th of ramadan, city</t>
        </is>
      </c>
      <c r="H6" t="inlineStr">
        <is>
          <t>مدير مصنع pvc بروفايل</t>
        </is>
      </c>
      <c r="I6" t="inlineStr">
        <is>
          <t>مدير مصنع البلاستيك</t>
        </is>
      </c>
      <c r="J6" t="inlineStr">
        <is>
          <t>Interview</t>
        </is>
      </c>
      <c r="K6" t="n">
        <v>3</v>
      </c>
      <c r="L6" t="n">
        <v>11.7</v>
      </c>
      <c r="M6" t="n">
        <v>45000</v>
      </c>
      <c r="O6" t="inlineStr">
        <is>
          <t>متزوج</t>
        </is>
      </c>
      <c r="P6" t="n">
        <v/>
      </c>
      <c r="Q6" t="inlineStr">
        <is>
          <t>العربية (اللغة الأم), الإنجليزية (جيد)</t>
        </is>
      </c>
      <c r="R6" t="inlineStr">
        <is>
          <t>بكالوريوس — خدمة اجتماعية — القاهرة</t>
        </is>
      </c>
      <c r="S6" t="inlineStr">
        <is>
          <t>صحب البروفايل ال PVC, إدارة عمليات السحب, الصيانة الوقائية والتصحيحية, مراقبة الجودة</t>
        </is>
      </c>
      <c r="T6" t="inlineStr">
        <is>
          <t>Word, Excel, Access, PowerPoint, Outlook, Solidworks</t>
        </is>
      </c>
      <c r="U6" t="inlineStr">
        <is>
          <t>إدارة فريق العمل والربط بين الإارات, متابعة عمليات تخطيط الإنتاج, إدارة الميزانيات والتكاليف</t>
        </is>
      </c>
      <c r="V6" t="inlineStr">
        <is>
          <t>التحليل وحل المعوقات, التميز التشغيلي, السلامة المهنية</t>
        </is>
      </c>
      <c r="W6" t="inlineStr"/>
      <c r="X6" t="inlineStr">
        <is>
          <t>مديرمصنع, مدير مصنع pvc بروفايل, مدير إدارة المشروعات والتطوير</t>
        </is>
      </c>
      <c r="Y6" t="inlineStr">
        <is>
          <t>Plastic Manufacturing</t>
        </is>
      </c>
      <c r="Z6" t="inlineStr">
        <is>
          <t>شركة Solido لأغطية الصرف الصحى, مجموعة مصر الحجاز, Partners &amp; Khoury</t>
        </is>
      </c>
      <c r="AA6" t="inlineStr">
        <is>
          <t>مدير مصنع بخبرة تزيد عن 11 عام في عمليات سحب البروفايل ال PVC، أمتلك سجلاً جيد في عمليات السحب مع استراتيجيات الإدارة الحديثة. نجحت في رفع كفاءة خطوط الإنتاج بنسبة [20%]، وخفض معدلات الهالك بنسبة [15%] من خلال تطوير خطوط الصيانة الوقائية (Preventive Maintenance). أتميز بقدرة عالية على إدارة سلاسل الإمداد وتحقيق المستهدفات الإنتاجية بتكلفة مثالية، مع الالتزام الصارم بمعايير الجودة وأنظمة السلامة المهنية، والعمل على بناء فرق عمل محفزة لتعظيم الإنتاجية وتطوير أداء المصنع بشكل مستدام.</t>
        </is>
      </c>
      <c r="AB6" t="inlineStr">
        <is>
          <t>شخص محترم لكن خبره فنيه ليست عميقة. له شركة كمبيوتر و IT</t>
        </is>
      </c>
      <c r="AC6" t="inlineStr">
        <is>
          <t>cv, .pdf</t>
        </is>
      </c>
      <c r="AD6" t="inlineStr">
        <is>
          <t>2026-09-24 07:00</t>
        </is>
      </c>
    </row>
    <row r="7">
      <c r="A7" t="inlineStr">
        <is>
          <t>CAND-2026-006</t>
        </is>
      </c>
      <c r="B7" t="inlineStr">
        <is>
          <t>MARWA SALAH</t>
        </is>
      </c>
      <c r="C7" t="inlineStr">
        <is>
          <t>marwa.salah2382001@gmail.com</t>
        </is>
      </c>
      <c r="D7" t="inlineStr">
        <is>
          <t>'+20 122 018 5839</t>
        </is>
      </c>
      <c r="E7" t="n">
        <v/>
      </c>
      <c r="F7" t="inlineStr">
        <is>
          <t>https://www.linkedin.com/in/eng-marwa-salah-635068289</t>
        </is>
      </c>
      <c r="G7" t="inlineStr">
        <is>
          <t>Cario, Egypt</t>
        </is>
      </c>
      <c r="H7" t="inlineStr">
        <is>
          <t>Electronics &amp; Telecommunications Technology|Ai Engineer</t>
        </is>
      </c>
      <c r="I7" t="n">
        <v/>
      </c>
      <c r="J7" t="inlineStr">
        <is>
          <t>New</t>
        </is>
      </c>
      <c r="K7" t="n">
        <v/>
      </c>
      <c r="L7" t="n">
        <v/>
      </c>
      <c r="M7" t="n">
        <v/>
      </c>
      <c r="N7" t="n">
        <v/>
      </c>
      <c r="O7" t="n">
        <v/>
      </c>
      <c r="P7" t="n">
        <v/>
      </c>
      <c r="Q7" t="inlineStr">
        <is>
          <t>Arabic (Native), English (Good)</t>
        </is>
      </c>
      <c r="R7" t="inlineStr">
        <is>
          <t>Master’s Researcher — Electronics and Communications Technology — Capital University – Faculty of Technology and Education; Bachelor's degree — Electronics and Communications Technology — Capital University - College of Technology; Diploma in Engineering — Technical Industrial Institute, Banha; Industrial Secondary Education — Ibnuhas Industrial Secondary School</t>
        </is>
      </c>
      <c r="S7" t="inlineStr">
        <is>
          <t>Artificial Intelligence, Machine Learning, Deep Learning, Natural Language Processing (NLP), Generative AI, Control Systems, Embedded Systems, Electronics, Networking, PCB Design, Arduino, Ethical Hacking, Cybersecurity</t>
        </is>
      </c>
      <c r="T7" t="inlineStr">
        <is>
          <t>Python, Embedded C, Packet Tracer, Wire Shark, Excel 2019, Access 2019, EKTS</t>
        </is>
      </c>
      <c r="U7" t="inlineStr">
        <is>
          <t>Office Management, Marketing &amp; Sales</t>
        </is>
      </c>
      <c r="V7" t="inlineStr">
        <is>
          <t>Strong Communication Skills, Adaptability &amp; Time Management, Team Collaboration &amp; Leadership, Problem-Solving &amp; Critical Thinking, Creativity &amp; Innovation in Digital Solutions, Critical Thinking</t>
        </is>
      </c>
      <c r="W7" t="inlineStr">
        <is>
          <t>Proficiency in AI Generative Tools, Programming (General &amp; Arduino)</t>
        </is>
      </c>
      <c r="X7" t="inlineStr">
        <is>
          <t>Technical Training, Training</t>
        </is>
      </c>
      <c r="Y7" t="inlineStr"/>
      <c r="Z7" t="inlineStr">
        <is>
          <t>Roqy Al-Maaref Secondary Industrial School for Girls, North Cairo Electricity Company</t>
        </is>
      </c>
      <c r="AA7" t="inlineStr">
        <is>
          <t>Electronics and Communications Technology Engineer and Master’s Researcher in Intelligent Data Security, with an academic and engineering background in Artificial Intelligence, Programming, Machine Learning, Deep Learning, and Natural Language Processing (NLP).</t>
        </is>
      </c>
      <c r="AB7" t="n">
        <v/>
      </c>
      <c r="AC7" t="inlineStr">
        <is>
          <t>Eng MARWASALAH cv .pdf</t>
        </is>
      </c>
      <c r="AD7" t="inlineStr">
        <is>
          <t>2026-09-24 11:24</t>
        </is>
      </c>
    </row>
    <row r="8">
      <c r="A8" t="inlineStr">
        <is>
          <t>CAND-2026-007</t>
        </is>
      </c>
      <c r="B8" t="inlineStr">
        <is>
          <t>Salah Ahmed Abd El-Aziz</t>
        </is>
      </c>
      <c r="C8" t="inlineStr">
        <is>
          <t>saIah.ahmed576@yahoo.com</t>
        </is>
      </c>
      <c r="D8" t="inlineStr">
        <is>
          <t>01001701492</t>
        </is>
      </c>
      <c r="E8" t="n">
        <v>44</v>
      </c>
      <c r="F8" t="n">
        <v/>
      </c>
      <c r="G8" t="inlineStr">
        <is>
          <t>10th of Ramadan city,Egypt</t>
        </is>
      </c>
      <c r="H8" t="inlineStr">
        <is>
          <t>production manager</t>
        </is>
      </c>
      <c r="I8" t="n">
        <v/>
      </c>
      <c r="J8" t="inlineStr">
        <is>
          <t>Screening</t>
        </is>
      </c>
      <c r="K8" t="n">
        <v/>
      </c>
      <c r="L8" t="n">
        <v>19.6</v>
      </c>
      <c r="M8" t="n">
        <v/>
      </c>
      <c r="O8" t="inlineStr">
        <is>
          <t>Married</t>
        </is>
      </c>
      <c r="P8" t="inlineStr">
        <is>
          <t>Exempted</t>
        </is>
      </c>
      <c r="Q8" t="inlineStr">
        <is>
          <t>Arabic: My Native., English: very good.</t>
        </is>
      </c>
      <c r="R8" t="inlineStr">
        <is>
          <t>B.S. — Chemistry — Ain Shams University</t>
        </is>
      </c>
      <c r="S8" t="inlineStr">
        <is>
          <t>chemical formulations for making PVC compound, sheathing and insulation cables, pipes, fittings, shoes, hoses, Soft profile, Rigid UPVC sections</t>
        </is>
      </c>
      <c r="T8" t="inlineStr">
        <is>
          <t>Microsoft Office Package, word, access, Excel, PowerPoint, Excel &amp; access advanced, Internet surfing, Email programs, internet explorer, Outlook express</t>
        </is>
      </c>
      <c r="U8" t="inlineStr">
        <is>
          <t>organize, direct supervise &amp; lead stuff</t>
        </is>
      </c>
      <c r="V8" t="inlineStr">
        <is>
          <t>Negotiation, strategy planning, Work well under pressure, time management</t>
        </is>
      </c>
      <c r="W8" t="inlineStr"/>
      <c r="X8" t="inlineStr">
        <is>
          <t>production manager, production Consultant, production Engineer</t>
        </is>
      </c>
      <c r="Y8" t="inlineStr">
        <is>
          <t>plastic industry, UPVC sections for windows and doors, Accordion doors industry</t>
        </is>
      </c>
      <c r="Z8" t="inlineStr">
        <is>
          <t>Nileplast company for plastic industry, Manazil Company for UPVC sections for windows and doors, MegaPlast company for Accordion doors industry, Watania Plast company for plastic industry, Egyplast Company for plastic industry (EIsewedy for CabIes)</t>
        </is>
      </c>
      <c r="AA8" t="inlineStr">
        <is>
          <t>Seeking a suitable position that would utilize my skills and qualifications in a dynamic and well established organization and allow my skills and qualifications to be in continuous improvement and I can achieve my goals which I consider as my duty in life.</t>
        </is>
      </c>
      <c r="AB8" t="n">
        <v/>
      </c>
      <c r="AC8" t="inlineStr">
        <is>
          <t>DOC-20231022-WA0001..pdf</t>
        </is>
      </c>
      <c r="AD8" t="inlineStr">
        <is>
          <t>2026-09-24 11:24</t>
        </is>
      </c>
    </row>
    <row r="9">
      <c r="A9" t="inlineStr">
        <is>
          <t>CAND-2026-008</t>
        </is>
      </c>
      <c r="B9" t="inlineStr">
        <is>
          <t>مصطفى حسن السعيد عليوه</t>
        </is>
      </c>
      <c r="C9" t="inlineStr">
        <is>
          <t>m_elewa89@yahoo.com</t>
        </is>
      </c>
      <c r="D9" t="inlineStr">
        <is>
          <t>01205681673 - 01098742992</t>
        </is>
      </c>
      <c r="E9" t="n">
        <v>35</v>
      </c>
      <c r="F9" t="n">
        <v/>
      </c>
      <c r="G9" t="inlineStr">
        <is>
          <t>ميت غمر– دقهلية</t>
        </is>
      </c>
      <c r="H9" t="inlineStr">
        <is>
          <t>محاسب</t>
        </is>
      </c>
      <c r="I9" t="n">
        <v/>
      </c>
      <c r="J9" t="inlineStr">
        <is>
          <t>New</t>
        </is>
      </c>
      <c r="K9" t="n">
        <v/>
      </c>
      <c r="L9" t="n">
        <v/>
      </c>
      <c r="M9" t="n">
        <v/>
      </c>
      <c r="O9" t="n">
        <v/>
      </c>
      <c r="P9" t="n">
        <v/>
      </c>
      <c r="Q9" t="inlineStr">
        <is>
          <t>العربيه (الاصل), الانجليزيه جيد جدا (تحدث قراءه كتابة)</t>
        </is>
      </c>
      <c r="R9" t="inlineStr">
        <is>
          <t>بكالوريوس تجارة — قسم المحاسبه — جامعه الزقازيق كليه التجارة</t>
        </is>
      </c>
      <c r="S9" t="inlineStr">
        <is>
          <t>account preparation, تسجيل العمليات اليومية, التسويات والمطالبات, مراجعه أذون الصرف والوارد, تقرير الرواتب الشهريه, تصفيه حسابات الموظفين, جرد لصندوق النقدية, متابعه المخزون, إدخال قيود اليومية, متابعة أرصدة العمالء والموردين, التسويات البنكية, قائمه الدخل</t>
        </is>
      </c>
      <c r="T9" t="inlineStr">
        <is>
          <t>ICDL, Word, Excel, Access, Power point, Internet, Hard + soft ware, برنامج الميزان, برنامج الميزان المحاسبي</t>
        </is>
      </c>
      <c r="U9" t="inlineStr">
        <is>
          <t>متابعة شئون العاملين والرواتب, إدارة العمل, اعداد الرواتب الخاصة بالعاملين, مراجعه كشوف الموردين</t>
        </is>
      </c>
      <c r="V9" t="inlineStr">
        <is>
          <t>تحمل المسئوليه, العمل بإتقان تحت ضغط العمل, ايجاد البديل والحل لمشاكل العمل, التعامل والتعاون مع فريق العمل, التعاون لتحقيق اهداف المنظمه</t>
        </is>
      </c>
      <c r="W9" t="inlineStr"/>
      <c r="X9" t="inlineStr">
        <is>
          <t>محاسب, شئون العاملين وال HR, التسويق العقار وى التسويق االلكترونى و المبيعات</t>
        </is>
      </c>
      <c r="Y9" t="inlineStr">
        <is>
          <t>المقاولات, التسويق العقاري, التسويق الالكتروني والمبيعات</t>
        </is>
      </c>
      <c r="Z9" t="inlineStr">
        <is>
          <t>شركه انوار الشرق للمقاوالت السعوديه, مكتب محاسبة بمصر, شركة الفوزان بالسعودية</t>
        </is>
      </c>
      <c r="AA9" t="n">
        <v/>
      </c>
      <c r="AB9" t="n">
        <v/>
      </c>
      <c r="AC9" t="inlineStr">
        <is>
          <t>cv mostafa elewa-1.pdf</t>
        </is>
      </c>
      <c r="AD9" t="inlineStr">
        <is>
          <t>2026-09-24 11:24</t>
        </is>
      </c>
    </row>
    <row r="10">
      <c r="A10" t="inlineStr">
        <is>
          <t>CAND-2026-009</t>
        </is>
      </c>
      <c r="B10" t="inlineStr">
        <is>
          <t>IBRAHIM ABDELKAREEM</t>
        </is>
      </c>
      <c r="C10" t="inlineStr">
        <is>
          <t>Ibrahim.karim012@yahoo.com</t>
        </is>
      </c>
      <c r="D10" t="inlineStr">
        <is>
          <t>01223189705</t>
        </is>
      </c>
      <c r="E10" t="n">
        <v/>
      </c>
      <c r="F10" t="n">
        <v/>
      </c>
      <c r="G10" t="inlineStr">
        <is>
          <t>New Cairo,Cairo</t>
        </is>
      </c>
      <c r="H10" t="inlineStr">
        <is>
          <t>Sales and Marketing Manager</t>
        </is>
      </c>
      <c r="I10" t="n">
        <v/>
      </c>
      <c r="J10" t="inlineStr">
        <is>
          <t>New</t>
        </is>
      </c>
      <c r="K10" t="n">
        <v/>
      </c>
      <c r="L10" t="n">
        <v>34.7</v>
      </c>
      <c r="M10" t="n">
        <v/>
      </c>
      <c r="O10" t="n">
        <v/>
      </c>
      <c r="P10" t="n">
        <v/>
      </c>
      <c r="Q10" t="inlineStr"/>
      <c r="R10" t="inlineStr">
        <is>
          <t>Bachelor of Science in Chemistry — Chemistry — Ain Shams University</t>
        </is>
      </c>
      <c r="S10" t="inlineStr">
        <is>
          <t>Sales Management, Marketing Management, Business Development, Market Expansion, Customer Relationship Management, Strategic Marketing, Strategic Sales Planning, Key Account Management, Distribution Network Development, Market Analysis, Competitive Strategy, Customer Retention</t>
        </is>
      </c>
      <c r="T10" t="inlineStr"/>
      <c r="U10" t="inlineStr">
        <is>
          <t>Sales Team Leadership, Commercial Agreements Negotiation, Partnership Building</t>
        </is>
      </c>
      <c r="V10" t="inlineStr">
        <is>
          <t>Leadership, Negotiation, Relationship Building</t>
        </is>
      </c>
      <c r="W10" t="inlineStr"/>
      <c r="X10" t="inlineStr">
        <is>
          <t>Sales and Marketing Manager</t>
        </is>
      </c>
      <c r="Y10" t="inlineStr">
        <is>
          <t>Plastic Pipe Manufacturing, Industrial Sector</t>
        </is>
      </c>
      <c r="Z10" t="inlineStr">
        <is>
          <t>AL MASRIA PIPE, WADI DEGLA, INTERPLAST, MISR EL-HEGAZ PLASTIC PIPES MANUFACTURING COMPANY, SLOAN PLASTIC PIPES MANUFACTURING COMPANY</t>
        </is>
      </c>
      <c r="AA10" t="inlineStr">
        <is>
          <t>Results-driven Sales and Marketing Manager with more than 30 years of experience in the plastic pipe manufacturing industry. Extensive expertise in sales leadership, business development, market expansion, customer relationship management, and strategic marketing. Proven ability to drive revenue growth and build long-term partnerships across the industrial sector.</t>
        </is>
      </c>
      <c r="AB10" t="n">
        <v/>
      </c>
      <c r="AC10" t="inlineStr">
        <is>
          <t>IBRAHIM ABDELKAREEM.pdf</t>
        </is>
      </c>
      <c r="AD10" t="inlineStr">
        <is>
          <t>2026-09-24 11:24</t>
        </is>
      </c>
    </row>
    <row r="11">
      <c r="A11" t="inlineStr">
        <is>
          <t>CAND-2026-010</t>
        </is>
      </c>
      <c r="B11" t="inlineStr">
        <is>
          <t>MOHAMED MAHFOUZ MOHAMED</t>
        </is>
      </c>
      <c r="C11" t="inlineStr">
        <is>
          <t>moh.mahfouz@gmail.com</t>
        </is>
      </c>
      <c r="D11" t="inlineStr">
        <is>
          <t>'+20-10-2273-5356</t>
        </is>
      </c>
      <c r="E11" t="n">
        <v/>
      </c>
      <c r="F11" t="n">
        <v/>
      </c>
      <c r="G11" t="inlineStr">
        <is>
          <t>Zagazig, El-Sharkya, Egypt</t>
        </is>
      </c>
      <c r="H11" t="inlineStr">
        <is>
          <t>PLANT MANAGER</t>
        </is>
      </c>
      <c r="I11" t="n">
        <v/>
      </c>
      <c r="J11" t="inlineStr">
        <is>
          <t>New</t>
        </is>
      </c>
      <c r="K11" t="n">
        <v/>
      </c>
      <c r="L11" t="n">
        <v>27.7</v>
      </c>
      <c r="M11" t="n">
        <v/>
      </c>
      <c r="O11" t="n">
        <v/>
      </c>
      <c r="P11" t="n">
        <v/>
      </c>
      <c r="Q11" t="inlineStr">
        <is>
          <t>Arabic (Native), English (Very Good – Written &amp; Spoken)</t>
        </is>
      </c>
      <c r="R11" t="inlineStr">
        <is>
          <t>BACHELOR OF LAW — Law — Zagazig University, Egypt; Professional Diploma — HR Management — CAME; Professional Diploma — HR Management — Zagazig University; Professional Diploma — HR Management — ITEP</t>
        </is>
      </c>
      <c r="S11" t="inlineStr">
        <is>
          <t>Factory Operations, Production Alignment, Capacity Planning, Cost Optimization, EHS &amp; Quality Compliance, Organizational Restructuring, HR Setup &amp; Framework Design, Job Grading &amp; Compensation, Policy &amp; Procedure Manuals, Full-scale Recruitment, Mass Hiring, Onboarding &amp; Integration, Workforce Planning &amp; Budgeting, Egyptian Labor Law, Government Relations, Social Insurance, Facility &amp; Industrial Administration, Payroll Administration, Performance Management, Succession Planning</t>
        </is>
      </c>
      <c r="T11" t="inlineStr">
        <is>
          <t>MS Office, Word, Excel, PowerPoint, Outlook, HRIS Systems, Payroll Software</t>
        </is>
      </c>
      <c r="U11" t="inlineStr">
        <is>
          <t>Factory Operations Management, Organizational Restructuring, Talent Acquisition, Workforce Planning, Policy Formulation, Employee Relations, Performance Management, Training and Development</t>
        </is>
      </c>
      <c r="V11" t="inlineStr">
        <is>
          <t>Leadership, Change Management, Strategic Planning, Problem Solving, Communication</t>
        </is>
      </c>
      <c r="W11" t="inlineStr"/>
      <c r="X11" t="inlineStr">
        <is>
          <t>PLANT MANAGER, RESTRUCTURING &amp; HR CONSULTANT, HR &amp; ADMINISTRATION MANAGER, HR &amp; ADMINISTRATION SECTION HEAD, HR SPECIALIST, HR GENERALIST, LAWYER UNDER TRAINING</t>
        </is>
      </c>
      <c r="Y11" t="inlineStr">
        <is>
          <t>Industrial, Manufacturing, Food Processing, Plastic, Ceramics, Porcelain</t>
        </is>
      </c>
      <c r="Z11" t="inlineStr">
        <is>
          <t>AL-AMIRA FOR FOOD INDUSTRIES, MISR INTERNATIONAL FOR PLASTIC INDUSTRIES, DAYEM GROUP FOR FOOD INDUSTRIES, CERAMICA PLATINO GROUP FOR CERAMICS &amp; PORCELAIN, MOG GROUP, TECHNOPOL EGYPT, MILLIARTEX, NOT SPECIFIED</t>
        </is>
      </c>
      <c r="AA11" t="inlineStr">
        <is>
          <t>Results-driven Plant Manager, HR &amp; Management Consultant with 25+ years of extensive leadership experience across industrial, manufacturing, food processing, and plastic industries. Proven expertise in full plant operations, organizational restructuring, establishing HR and operational frameworks from the ground up, talent acquisition, supply chain oversight, and labor law compliance.</t>
        </is>
      </c>
      <c r="AB11" t="n">
        <v/>
      </c>
      <c r="AC11" t="inlineStr">
        <is>
          <t>Mohamed Mahfouz Plant Manager.pdf</t>
        </is>
      </c>
      <c r="AD11" t="inlineStr">
        <is>
          <t>2026-09-24 11:24</t>
        </is>
      </c>
    </row>
    <row r="12">
      <c r="A12" t="inlineStr">
        <is>
          <t>CAND-2026-011</t>
        </is>
      </c>
      <c r="B12" t="inlineStr">
        <is>
          <t>ELSAYED ABDEL MONEM ELSAYED</t>
        </is>
      </c>
      <c r="C12" t="inlineStr">
        <is>
          <t>sayedmonem61@yahoo.com</t>
        </is>
      </c>
      <c r="D12" t="inlineStr">
        <is>
          <t>01145927700</t>
        </is>
      </c>
      <c r="E12" t="n">
        <v/>
      </c>
      <c r="F12" t="n">
        <v/>
      </c>
      <c r="G12" t="inlineStr">
        <is>
          <t>El Obour City, Qalyubia, Egypt</t>
        </is>
      </c>
      <c r="H12" t="inlineStr">
        <is>
          <t>Factory Manager</t>
        </is>
      </c>
      <c r="I12" t="n">
        <v/>
      </c>
      <c r="J12" t="inlineStr">
        <is>
          <t>New</t>
        </is>
      </c>
      <c r="K12" t="n">
        <v/>
      </c>
      <c r="L12" t="n">
        <v>30.7</v>
      </c>
      <c r="M12" t="n">
        <v/>
      </c>
      <c r="O12" t="inlineStr">
        <is>
          <t>Married</t>
        </is>
      </c>
      <c r="P12" t="n">
        <v/>
      </c>
      <c r="Q12" t="inlineStr">
        <is>
          <t>Arabic (Native), English (Very Good)</t>
        </is>
      </c>
      <c r="R12" t="inlineStr">
        <is>
          <t>Bachelor of Mechanical Power Engineering — Mechanical Power Engineering — Menoufia University, Egypt</t>
        </is>
      </c>
      <c r="S12" t="inlineStr">
        <is>
          <t>PET Recycling, Preventive Maintenance, Water Treatment, Pumps, Compressors, Heat Exchangers, HVAC, Fire Fighting Systems</t>
        </is>
      </c>
      <c r="T12" t="inlineStr">
        <is>
          <t>PLC, SCADA, Microsoft Office</t>
        </is>
      </c>
      <c r="U12" t="inlineStr">
        <is>
          <t>Factory Management, Manufacturing Operations, Production Planning, Continuous Improvement, Team Leadership, Cost Control, Budget Management, Quality Management</t>
        </is>
      </c>
      <c r="V12" t="inlineStr">
        <is>
          <t>Leadership, Problem Solving, Cross-functional Coordination</t>
        </is>
      </c>
      <c r="W12" t="inlineStr"/>
      <c r="X12" t="inlineStr">
        <is>
          <t>Factory Manager, Executive Manager / Chief Maintenance Manager, Executive Manager, Maintenance Manager, Operation &amp; Maintenance Manager, Mechanical Construction Manager, Site Manager – Operation &amp; Maintenance, Assistant Production &amp; Maintenance Manager, Chief Mechanical Engineer, Mechanical Engineer</t>
        </is>
      </c>
      <c r="Y12" t="inlineStr">
        <is>
          <t>Plastic Manufacturing, Manufacturing, Industrial Operations</t>
        </is>
      </c>
      <c r="Z12" t="inlineStr">
        <is>
          <t>Plastic Recycling Factory (PET Production), EMEC Company — National Bank of Egypt Project, EMEC Company, Domiatec Group, Syrian Italian Company, Paper Factory – Beni Suef, OMC Company — Dammam University Project, Saudi Arabia, SERACO Company — King Fahd Specialist Hospital, Saudi Arabia, Saad Group — Saad Specialist Hospital, Saudi Arabia, Elobour Company, Super Plast Company</t>
        </is>
      </c>
      <c r="AA12" t="inlineStr">
        <is>
          <t>Factory Manager and Mechanical Engineering Professional with over 30 years of experience in manufacturing, industrial operations, production, maintenance, and engineering management across Egypt and Saudi Arabia. Proven success in leading manufacturing facilities, improving production efficiency, reducing downtime, optimizing operational costs, and managing multidisciplinary teams. Strong expertise in PET plastic recycling, production planning, preventive maintenance, quality systems, and continuous process improvement.</t>
        </is>
      </c>
      <c r="AB12" t="n">
        <v/>
      </c>
      <c r="AC12" t="inlineStr">
        <is>
          <t>ELSAYED ABDEL MONEM CV(FACTORY MANAGER).pdf</t>
        </is>
      </c>
      <c r="AD12" t="inlineStr">
        <is>
          <t>2026-09-24 11:24</t>
        </is>
      </c>
    </row>
    <row r="13">
      <c r="A13" t="inlineStr">
        <is>
          <t>CAND-2026-012</t>
        </is>
      </c>
      <c r="B13" t="inlineStr">
        <is>
          <t>Yousri Mohamed Saber Mahmoud</t>
        </is>
      </c>
      <c r="C13" t="inlineStr">
        <is>
          <t>yousrimohamed2025@gmail.com</t>
        </is>
      </c>
      <c r="D13" t="inlineStr">
        <is>
          <t>01099898703</t>
        </is>
      </c>
      <c r="E13" t="n">
        <v/>
      </c>
      <c r="F13" t="n">
        <v/>
      </c>
      <c r="G13" t="n">
        <v/>
      </c>
      <c r="H13" t="inlineStr">
        <is>
          <t>Quality Inspector</t>
        </is>
      </c>
      <c r="I13" t="n">
        <v/>
      </c>
      <c r="J13" t="inlineStr">
        <is>
          <t>New</t>
        </is>
      </c>
      <c r="K13" t="n">
        <v/>
      </c>
      <c r="L13" t="n">
        <v>9.5</v>
      </c>
      <c r="M13" t="n">
        <v/>
      </c>
      <c r="O13" t="n">
        <v/>
      </c>
      <c r="P13" t="n">
        <v/>
      </c>
      <c r="Q13" t="inlineStr">
        <is>
          <t>English</t>
        </is>
      </c>
      <c r="R13" t="inlineStr">
        <is>
          <t>Bachelor of Commerce — Accounting — Al-Zaqaziq University</t>
        </is>
      </c>
      <c r="S13" t="inlineStr">
        <is>
          <t>Cost accounting, Daily closing, Bank reconciliations, Review of customer and supplier accounts, Financial analysis, Monitor product quality, Conduct inspections and tests, Document inspection results</t>
        </is>
      </c>
      <c r="T13" t="inlineStr">
        <is>
          <t>Microsoft Word, Excel, PowerPoint, ERP</t>
        </is>
      </c>
      <c r="U13" t="inlineStr">
        <is>
          <t>Developing and implementing modern accounting methods, Collaborate with production and engineering teams</t>
        </is>
      </c>
      <c r="V13" t="inlineStr">
        <is>
          <t>Teamwork, Work under pressure</t>
        </is>
      </c>
      <c r="W13" t="inlineStr"/>
      <c r="X13" t="inlineStr">
        <is>
          <t>Cost Accountant, General Accountant, Senior Executive Assistant, Quality Inspector</t>
        </is>
      </c>
      <c r="Y13" t="inlineStr">
        <is>
          <t>Restaurant, Electricity Transmission, Automotive Wiring Harnesses</t>
        </is>
      </c>
      <c r="Z13" t="inlineStr">
        <is>
          <t>Stereo Restaurant, Egyptian Electricity Transmission Company, Siemens Trafo, Sumitomo Wiring Systems (Automotive Wiring Harnesses)</t>
        </is>
      </c>
      <c r="AA13" t="inlineStr">
        <is>
          <t>General accountant with over 7 years of experience in daily closing, bank reconciliations, reviewing customer and supplier accounts, and preparing reports. Skilled in financial analysis and preparing performance reports. Able to work effectively in a team, under pressure, and has the ability to develop and introduce modern accounting methods.</t>
        </is>
      </c>
      <c r="AB13" t="n">
        <v/>
      </c>
      <c r="AC13" t="inlineStr">
        <is>
          <t>Yousri_English_CV_Updated.pdf</t>
        </is>
      </c>
      <c r="AD13" t="inlineStr">
        <is>
          <t>2026-09-24 11:24</t>
        </is>
      </c>
    </row>
    <row r="14">
      <c r="A14" t="inlineStr">
        <is>
          <t>CAND-2026-013</t>
        </is>
      </c>
      <c r="B14" t="inlineStr">
        <is>
          <t>Ahmed Saeed Abd Elhamed Badawy</t>
        </is>
      </c>
      <c r="C14" t="inlineStr">
        <is>
          <t>badawyahmed954@gmail.com</t>
        </is>
      </c>
      <c r="D14" t="inlineStr">
        <is>
          <t>01013163982</t>
        </is>
      </c>
      <c r="E14" t="n">
        <v>39</v>
      </c>
      <c r="F14" t="n">
        <v/>
      </c>
      <c r="G14" t="inlineStr">
        <is>
          <t>Sadat City - Menoufia</t>
        </is>
      </c>
      <c r="H14" t="inlineStr">
        <is>
          <t>Maintenance Manager</t>
        </is>
      </c>
      <c r="I14" t="n">
        <v/>
      </c>
      <c r="J14" t="inlineStr">
        <is>
          <t>New</t>
        </is>
      </c>
      <c r="K14" t="n">
        <v/>
      </c>
      <c r="L14" t="n">
        <v>14</v>
      </c>
      <c r="M14" t="n">
        <v/>
      </c>
      <c r="O14" t="n">
        <v/>
      </c>
      <c r="P14" t="n">
        <v/>
      </c>
      <c r="Q14" t="inlineStr">
        <is>
          <t>Arabic (Mother tongue), English (Excellent)</t>
        </is>
      </c>
      <c r="R14" t="inlineStr">
        <is>
          <t>Bachelor of Engineering — Mechanical power — Aswan University</t>
        </is>
      </c>
      <c r="S14" t="inlineStr">
        <is>
          <t>Equipment and machinery repair, Preventing malfunctions, Periodical maintenance, Planned Preventative Maintenance (PPM), Weld Technology, Hydraulic and Pneumatic Systems</t>
        </is>
      </c>
      <c r="T14" t="inlineStr">
        <is>
          <t>Microsoft Office applications</t>
        </is>
      </c>
      <c r="U14" t="inlineStr">
        <is>
          <t>Strategy and policy implementation, Project management, Team delegation and management, Maintenance scheduling, Engineering data systems audit, Downtime reduction, Reporting and presentation</t>
        </is>
      </c>
      <c r="V14" t="inlineStr">
        <is>
          <t>Leadership, Continuous training and development</t>
        </is>
      </c>
      <c r="W14" t="inlineStr"/>
      <c r="X14" t="inlineStr">
        <is>
          <t>Maintenance Manager, Maintenance Manager and consultant, Maintenance engineer</t>
        </is>
      </c>
      <c r="Y14" t="inlineStr">
        <is>
          <t>Plastics, Water Treatment, Electricity Production and Distribution</t>
        </is>
      </c>
      <c r="Z14" t="inlineStr">
        <is>
          <t>Green Valley pipes, Water treatment plant, Nile pipe, G M pipes, El Alamia pipes, El Nubaria Electricity Produce And Distribution Station</t>
        </is>
      </c>
      <c r="AA14" t="inlineStr">
        <is>
          <t>Maintenance engineer with more than 14 years of experience in the field of plastics and equipment and machinery repair. Mechanics in various industries with high efficiency and preventing malfunctions by performing maintenance Periodical</t>
        </is>
      </c>
      <c r="AB14" t="n">
        <v/>
      </c>
      <c r="AC14" t="inlineStr">
        <is>
          <t>سي_في (1)(3)(15)(1).pdf</t>
        </is>
      </c>
      <c r="AD14" t="inlineStr">
        <is>
          <t>2026-09-24 11:24</t>
        </is>
      </c>
    </row>
    <row r="15">
      <c r="A15" t="inlineStr">
        <is>
          <t>CAND-2026-014</t>
        </is>
      </c>
      <c r="B15" t="inlineStr">
        <is>
          <t>Sohail Mohamed Bakr</t>
        </is>
      </c>
      <c r="C15" t="inlineStr">
        <is>
          <t>sohail.mohamed@hotmail.com</t>
        </is>
      </c>
      <c r="D15" t="inlineStr">
        <is>
          <t>01026061864</t>
        </is>
      </c>
      <c r="E15" t="n">
        <v>31</v>
      </c>
      <c r="F15" t="n">
        <v/>
      </c>
      <c r="G15" t="inlineStr">
        <is>
          <t>10th Of Ramadan</t>
        </is>
      </c>
      <c r="H15" t="inlineStr">
        <is>
          <t>Production Section Head</t>
        </is>
      </c>
      <c r="I15" t="n">
        <v/>
      </c>
      <c r="J15" t="inlineStr">
        <is>
          <t>Screening</t>
        </is>
      </c>
      <c r="K15" t="n">
        <v/>
      </c>
      <c r="L15" t="n">
        <v>4.4</v>
      </c>
      <c r="M15" t="n">
        <v/>
      </c>
      <c r="O15" t="n">
        <v/>
      </c>
      <c r="P15" t="n">
        <v/>
      </c>
      <c r="Q15" t="inlineStr"/>
      <c r="R15" t="inlineStr">
        <is>
          <t>BSc — Mechanical Production &amp; Design — Menoﬁa University</t>
        </is>
      </c>
      <c r="S15" t="inlineStr">
        <is>
          <t>Injection Molding, Assembly, Sheet Metal, Spot Welding, Co2 Line, Thermoset Materials, Thermo Plastic</t>
        </is>
      </c>
      <c r="T15" t="inlineStr">
        <is>
          <t>SOLIDWORKS</t>
        </is>
      </c>
      <c r="U15" t="inlineStr">
        <is>
          <t>Production Planning, Team Training, System Building, Process Coordination, Equipment Procurement, Supplier Management</t>
        </is>
      </c>
      <c r="V15" t="inlineStr">
        <is>
          <t>Leadership, Problem Solving, Cross-functional Coordination, Negotiation</t>
        </is>
      </c>
      <c r="W15" t="inlineStr"/>
      <c r="X15" t="inlineStr">
        <is>
          <t>Production Section Head, Senior Production Engineer, Production &amp; Operation Engineer, Production Engineer</t>
        </is>
      </c>
      <c r="Y15" t="inlineStr">
        <is>
          <t>Electrical Industries, Plastic Manufacturing, Automotive Industry</t>
        </is>
      </c>
      <c r="Z15" t="inlineStr">
        <is>
          <t>Nefertari-JM for Electrical Industries, Elsalam For Plastic Inds. (Electrolux,Bosch And Fresh Suppliers), Alkersh Plast For Automotive Indu. (Kasrawy,Kinglong,Suzuki Supplier), Industrial Control (General Motors Supplier) (6th Of October)</t>
        </is>
      </c>
      <c r="AA15" t="inlineStr">
        <is>
          <t>Experienced in all aspects of plastic injection molding, including machines, materials, operations, and molds.</t>
        </is>
      </c>
      <c r="AB15" t="n">
        <v/>
      </c>
      <c r="AC15" t="inlineStr">
        <is>
          <t>Sohail Mohamed - Production Engineer.pdf</t>
        </is>
      </c>
      <c r="AD15" t="inlineStr">
        <is>
          <t>2026-09-24 11:24</t>
        </is>
      </c>
    </row>
    <row r="16">
      <c r="A16" t="inlineStr">
        <is>
          <t>CAND-2026-015</t>
        </is>
      </c>
      <c r="B16" t="inlineStr">
        <is>
          <t>صلاح عبد العزيز</t>
        </is>
      </c>
      <c r="C16" t="n">
        <v/>
      </c>
      <c r="D16" t="n">
        <v/>
      </c>
      <c r="E16" t="n">
        <v>46</v>
      </c>
      <c r="F16" t="n">
        <v/>
      </c>
      <c r="G16" t="inlineStr">
        <is>
          <t>مدينة العاشر من رمضان</t>
        </is>
      </c>
      <c r="H16" t="inlineStr">
        <is>
          <t>مدير إنتاج مصانع بلاستيك</t>
        </is>
      </c>
      <c r="I16" t="n">
        <v/>
      </c>
      <c r="J16" t="inlineStr">
        <is>
          <t>Screening</t>
        </is>
      </c>
      <c r="K16" t="n">
        <v/>
      </c>
      <c r="L16" t="n">
        <v>20</v>
      </c>
      <c r="M16" t="n">
        <v/>
      </c>
      <c r="O16" t="n">
        <v/>
      </c>
      <c r="P16" t="n">
        <v/>
      </c>
      <c r="Q16" t="inlineStr"/>
      <c r="R16" t="inlineStr">
        <is>
          <t>بكالوريوس — علوم - كيمياء — جامعة عين شمس</t>
        </is>
      </c>
      <c r="S16" t="inlineStr">
        <is>
          <t>صناعة البلاستيك, إدارة خطوط الإنتاج, تشغيل وإدارة مصانع البلاستيك, صناعة البلاستيك مركب PVC, صناعة قطاعات UPVC, صناعة قطاعات WPC</t>
        </is>
      </c>
      <c r="T16" t="inlineStr"/>
      <c r="U16" t="inlineStr">
        <is>
          <t>إدارة العمليات الإنتاجية, رفع كفاءة الإنتاج, تقليل الفاقد, تحسين الجودة, إدارة وتطوير فرق العمل, إعداد وتنفيذ الخطط الإنتاجية, متابعة مؤشرات الأداء, تطبيق أنظمة الجودة والسلامة المهنية, حل المشكلات التشغيلية</t>
        </is>
      </c>
      <c r="V16" t="inlineStr">
        <is>
          <t>Problem Solving, Leadership</t>
        </is>
      </c>
      <c r="W16" t="inlineStr"/>
      <c r="X16" t="inlineStr">
        <is>
          <t>مهندس إنتاج, مدير إنتاج</t>
        </is>
      </c>
      <c r="Y16" t="inlineStr">
        <is>
          <t>صناعة البلاستيك</t>
        </is>
      </c>
      <c r="Z16" t="inlineStr">
        <is>
          <t>Egyplast (السويدي لصناعة البلاستيك), الوطنية لصناعة البلاستيك, النيل لصناعة البلاستيك, منازل UPVC, أمان UPVC</t>
        </is>
      </c>
      <c r="AA16" t="inlineStr">
        <is>
          <t>مدير إنتاج مصانع بلاستيك بخبرة أكثر من 20 عامًا في مجال صناعة البلاستيك وإدارة المصانع وخطوط الإنتاج، مع سجل متميز في إدارة العمليات الإنتاجية ورفع الكفاءة وتطوير فرق العمل وتطبيق أنظمة الجودة.</t>
        </is>
      </c>
      <c r="AB16" t="n">
        <v/>
      </c>
      <c r="AC16" t="inlineStr">
        <is>
          <t>صلاح عبدالعزيز.txt</t>
        </is>
      </c>
      <c r="AD16" t="inlineStr">
        <is>
          <t>2026-09-24 11:24</t>
        </is>
      </c>
    </row>
    <row r="17">
      <c r="A17" t="inlineStr">
        <is>
          <t>CAND-2026-016</t>
        </is>
      </c>
      <c r="B17" t="inlineStr">
        <is>
          <t>MOHAMED METWALLY GOUDA ALI</t>
        </is>
      </c>
      <c r="C17" t="inlineStr">
        <is>
          <t>almoslem.eng2020@gmail.com</t>
        </is>
      </c>
      <c r="D17" t="inlineStr">
        <is>
          <t>'+20 101 803 4166</t>
        </is>
      </c>
      <c r="E17" t="n">
        <v/>
      </c>
      <c r="F17" t="inlineStr">
        <is>
          <t>linkedin.com/in/mohamedmetwallygouda</t>
        </is>
      </c>
      <c r="G17" t="inlineStr">
        <is>
          <t>Zagazig, Egypt</t>
        </is>
      </c>
      <c r="H17" t="inlineStr">
        <is>
          <t>Production Manager</t>
        </is>
      </c>
      <c r="I17" t="n">
        <v/>
      </c>
      <c r="J17" t="inlineStr">
        <is>
          <t>New</t>
        </is>
      </c>
      <c r="K17" t="n">
        <v/>
      </c>
      <c r="L17" t="n">
        <v>7.6</v>
      </c>
      <c r="M17" t="n">
        <v/>
      </c>
      <c r="O17" t="n">
        <v/>
      </c>
      <c r="P17" t="n">
        <v/>
      </c>
      <c r="Q17" t="inlineStr">
        <is>
          <t>Arabic (Native), English (Professional working proficiency)</t>
        </is>
      </c>
      <c r="R17" t="inlineStr">
        <is>
          <t>B.Sc. — Industrial Engineering — Faculty of Engineering, Zagazig University</t>
        </is>
      </c>
      <c r="S17" t="inlineStr">
        <is>
          <t>Plastic Pipe Extrusion, HDPE / UPVC / PPR / PPH Extrusion, Machine Installation &amp; Commissioning, Total Productive Maintenance (TPM), Lean Manufacturing &amp; 5S, Six Sigma, Cost Control &amp; Waste Reduction, Root Cause Analysis (RCA) &amp; SPC, Preventive Maintenance</t>
        </is>
      </c>
      <c r="T17" t="inlineStr">
        <is>
          <t>Microsoft Office, SolidWorks, Power BI, Minitab, Photoshop, Infor ERP system</t>
        </is>
      </c>
      <c r="U17" t="inlineStr">
        <is>
          <t>Production Planning &amp; Scheduling, Team Leadership &amp; Training, Quality Assurance Coordination, Cross-functional Coordination, Supplier Selection, Budgeting</t>
        </is>
      </c>
      <c r="V17" t="inlineStr">
        <is>
          <t>Leadership, Problem Solving, Emergency Response</t>
        </is>
      </c>
      <c r="W17" t="inlineStr"/>
      <c r="X17" t="inlineStr">
        <is>
          <t>Production Manager, Production Section Head, Production Engineer</t>
        </is>
      </c>
      <c r="Y17" t="inlineStr">
        <is>
          <t>Plastic Pipe Extrusion Manufacturing, Pre-Insulated Pipes, Building Machines &amp; Steel Industries</t>
        </is>
      </c>
      <c r="Z17" t="inlineStr">
        <is>
          <t>Perma Pipe for Pre-Insulated Pipes Co., TechnoPipe for UPVC &amp; HDPE Pipes Co., Roxy Plast for UPVC, PPR &amp; PPH Pipes Co., Misr Elhegaz for HDPE Pipes &amp; Fittings, PPR Pipes and Hoses Co., Misr Elnour for UPVC &amp; HDPE Pipes Co., Al-Sharif for Melamine &amp; Resins Co., Al-Takamol for Building Machines &amp; Steel Industries Co.</t>
        </is>
      </c>
      <c r="AA17" t="inlineStr">
        <is>
          <t>Production Manager with 9+ years of progressive experience across HDPE, UPVC, PPR, and PPH pipe extrusion manufacturing. Proven track record leading full-scale machine installation and commissioning (HDPE lines 200–560mm), driving OEE and productivity improvements (e.g., 63% to 78%, 66% to 87%), and cutting production wastage by up to 60% through Lean Manufacturing, 5S, RCA, Pareto analysis, and SPC. Skilled in production planning, ERP systems (Infor), TPM, workforce leadership, and cross-functional coordination with Quality, Maintenance, and Planning departments. Lean Six Sigma Yellow Belt and OSHA certified.</t>
        </is>
      </c>
      <c r="AB17" t="n">
        <v/>
      </c>
      <c r="AC17" t="inlineStr">
        <is>
          <t>Mohamed_Metwally_CV.pdf</t>
        </is>
      </c>
      <c r="AD17" t="inlineStr">
        <is>
          <t>2026-09-24 11:24</t>
        </is>
      </c>
    </row>
    <row r="18">
      <c r="A18" t="inlineStr">
        <is>
          <t>CAND-2026-017</t>
        </is>
      </c>
      <c r="B18" t="inlineStr">
        <is>
          <t>BESHOY ABDELMASEH KAMEL</t>
        </is>
      </c>
      <c r="C18" t="inlineStr">
        <is>
          <t>Beshoyabdelmaseh811@gmail.com</t>
        </is>
      </c>
      <c r="D18" t="inlineStr">
        <is>
          <t>01211492336</t>
        </is>
      </c>
      <c r="E18" t="n">
        <v/>
      </c>
      <c r="F18" t="n">
        <v/>
      </c>
      <c r="G18" t="inlineStr">
        <is>
          <t>10th of Ramadan City, Egypt</t>
        </is>
      </c>
      <c r="H18" t="inlineStr">
        <is>
          <t>Section Head</t>
        </is>
      </c>
      <c r="I18" t="n">
        <v/>
      </c>
      <c r="J18" t="inlineStr">
        <is>
          <t>New</t>
        </is>
      </c>
      <c r="K18" t="n">
        <v/>
      </c>
      <c r="L18" t="n">
        <v>8</v>
      </c>
      <c r="M18" t="n">
        <v/>
      </c>
      <c r="O18" t="n">
        <v/>
      </c>
      <c r="P18" t="inlineStr">
        <is>
          <t>Completed</t>
        </is>
      </c>
      <c r="Q18" t="inlineStr">
        <is>
          <t>Arabic (Native), English ( Good )</t>
        </is>
      </c>
      <c r="R18" t="inlineStr">
        <is>
          <t>Bachelor of Mechanical Engineering — Design &amp; Production Engineering — Faculty of Engineering, Minia University</t>
        </is>
      </c>
      <c r="S18" t="inlineStr">
        <is>
          <t>Thermoforming &amp; Industrial Manufacturing Operations, Plastic sheet extrusion, Production Planning &amp; Control (PPC), Lean Manufacturing &amp; Continuous Improvement (Kaizen), Six Sigma &amp; Root Cause Analysis (RCA), Process Optimization &amp; Quality Control Systems, Waste Reduction &amp; Scrap Reduction</t>
        </is>
      </c>
      <c r="T18" t="inlineStr">
        <is>
          <t>Advanced Microsoft Excel</t>
        </is>
      </c>
      <c r="U18" t="inlineStr">
        <is>
          <t>Team Leadership &amp; Operations Management, Production Planning &amp; Control, KPI Monitoring, Reporting &amp; Cost Control, Shift supervision and employee coaching, Cross-functional coordination</t>
        </is>
      </c>
      <c r="V18" t="inlineStr">
        <is>
          <t>Problem Solving &amp; Strategic Decision Making, Effective Technical &amp; Interpersonal Communication, Conflict Resolution &amp; Negotiation, Time Management &amp; Work Prioritization, Performance Coaching &amp; Team Mentoring, Adaptability in Fast-Paced Manufacturing Environments, Continuous Improvement Mindset</t>
        </is>
      </c>
      <c r="W18" t="inlineStr"/>
      <c r="X18" t="inlineStr">
        <is>
          <t>Section Head – Thermoforming Department, Production Engineer</t>
        </is>
      </c>
      <c r="Y18" t="inlineStr">
        <is>
          <t>Manufacturing, Plastic Manufacturing</t>
        </is>
      </c>
      <c r="Z18" t="inlineStr">
        <is>
          <t>Rabonni Plast Company, MCV (Manufacturing Commercial Vehicles)</t>
        </is>
      </c>
      <c r="AA18" t="inlineStr">
        <is>
          <t>Working as a Section Head and Senior Mechanical &amp; Production Engineer with over 8 years of experience in manufacturing, industrial operations, and process optimization. Proven expertise in thermoforming production, plastic sheet extrusion, and Production Planning &amp; Control (PPC), Lean Manufacturing, and team leadership. Demonstrated track record in monitoring key performance indicators (KPIs), reducing scrap rates, controlling costs, and resolving complex engineering problems.</t>
        </is>
      </c>
      <c r="AB18" t="n">
        <v/>
      </c>
      <c r="AC18" t="inlineStr">
        <is>
          <t>Beshoy_Abdelmaseh_CV.pdf</t>
        </is>
      </c>
      <c r="AD18" t="inlineStr">
        <is>
          <t>2026-09-26 07:45</t>
        </is>
      </c>
    </row>
    <row r="19">
      <c r="A19" t="inlineStr">
        <is>
          <t>CAND-2026-018</t>
        </is>
      </c>
      <c r="B19" t="inlineStr">
        <is>
          <t>AHMED ABDULLAH ANTER</t>
        </is>
      </c>
      <c r="C19" t="inlineStr">
        <is>
          <t>a.3antar@gmail.com</t>
        </is>
      </c>
      <c r="D19" t="inlineStr">
        <is>
          <t>'+20 112 911 6698</t>
        </is>
      </c>
      <c r="E19" t="n">
        <v/>
      </c>
      <c r="F19" t="n">
        <v/>
      </c>
      <c r="G19" t="inlineStr">
        <is>
          <t>10th of Ramadan, Egypt</t>
        </is>
      </c>
      <c r="H19" t="inlineStr">
        <is>
          <t>Operations Manager</t>
        </is>
      </c>
      <c r="I19" t="n">
        <v/>
      </c>
      <c r="J19" t="inlineStr">
        <is>
          <t>New</t>
        </is>
      </c>
      <c r="K19" t="n">
        <v/>
      </c>
      <c r="L19" t="n">
        <v>22.7</v>
      </c>
      <c r="M19" t="n">
        <v/>
      </c>
      <c r="O19" t="n">
        <v/>
      </c>
      <c r="P19" t="n">
        <v/>
      </c>
      <c r="Q19" t="inlineStr"/>
      <c r="R19" t="inlineStr">
        <is>
          <t>B.Sc. — Electrical Engineering (Computer &amp; Automatic Control)</t>
        </is>
      </c>
      <c r="S19" t="inlineStr">
        <is>
          <t>Brass Valve Manufacturing, Mold Design, Metal Forming, Industrial Operations, CNC Operations, Maintenance Planning, PLC &amp; Classic Control, Injection Molds, Machining, Casting, Prototyping, Python, SQL, VBA, HTML</t>
        </is>
      </c>
      <c r="T19" t="inlineStr">
        <is>
          <t>Power BI, Advanced Excel, MS Project, SolidWorks, AutoCAD, Delcam, ERP Systems, PowerShape, 2D/3D Drafting, Word, Visio, Project</t>
        </is>
      </c>
      <c r="U19" t="inlineStr">
        <is>
          <t>Production Planning, Lean Manufacturing, Factory Management, Cost Reduction, Supply Chain Optimization, KPI Management, Crisis Management, Workforce Management, Budget Management, Scheduling, Maintenance Discipline, Process Streamlining, Logistics Coordination, Vendor Technical Evaluations, Quality Checkpoints, Project Management</t>
        </is>
      </c>
      <c r="V19" t="inlineStr">
        <is>
          <t>Cross-functional Leadership, Data-driven Decision Making, Supplier Negotiations, Root-Cause Analysis</t>
        </is>
      </c>
      <c r="W19" t="inlineStr"/>
      <c r="X19" t="inlineStr">
        <is>
          <t>Operations Manager, General Production Manager, Brass Factory Manager, Mold Factory Manager, Engineering Department Manager / Chief Mold Designer, Mold Maker</t>
        </is>
      </c>
      <c r="Y19" t="inlineStr">
        <is>
          <t>Brass Valve Manufacturing, Mold Manufacturing</t>
        </is>
      </c>
      <c r="Z19" t="inlineStr">
        <is>
          <t>EGYMOLD</t>
        </is>
      </c>
      <c r="AA19" t="inlineStr">
        <is>
          <t>Operations and Production Leader with nearly 20 years of hands-on experience across brass valve manufacturing, mold design, metal forming, and industrial operations. Known for improving factory performance through data-driven decisions, lean practices, and cross-functional leadership. Led teams of 450+ employees, reduced production waste, optimized material flow, and drove major digital transformation initiatives such as ERP implementation and Power BI reporting. Strong blend of technical engineering, financial awareness, and shop-floor leadership.</t>
        </is>
      </c>
      <c r="AB19" t="n">
        <v/>
      </c>
      <c r="AC19" t="inlineStr">
        <is>
          <t>CV.docx</t>
        </is>
      </c>
      <c r="AD19" t="inlineStr">
        <is>
          <t>2026-09-27 11:32</t>
        </is>
      </c>
    </row>
    <row r="20">
      <c r="A20" t="inlineStr">
        <is>
          <t>CAND-2026-019</t>
        </is>
      </c>
      <c r="B20" t="inlineStr">
        <is>
          <t>AHMED HASSAN MOHAMED</t>
        </is>
      </c>
      <c r="C20" t="inlineStr">
        <is>
          <t>ahmedhassan.bahairy@gmail.com</t>
        </is>
      </c>
      <c r="D20" t="inlineStr">
        <is>
          <t>01011226319</t>
        </is>
      </c>
      <c r="E20" t="n">
        <v>29</v>
      </c>
      <c r="F20" t="n">
        <v/>
      </c>
      <c r="G20" t="inlineStr">
        <is>
          <t>El-sharqia , Egypt</t>
        </is>
      </c>
      <c r="H20" t="inlineStr">
        <is>
          <t>Storekeeper</t>
        </is>
      </c>
      <c r="I20" t="n">
        <v/>
      </c>
      <c r="J20" t="inlineStr">
        <is>
          <t>New</t>
        </is>
      </c>
      <c r="K20" t="n">
        <v/>
      </c>
      <c r="L20" t="n">
        <v>5.6</v>
      </c>
      <c r="M20" t="n">
        <v/>
      </c>
      <c r="O20" t="n">
        <v/>
      </c>
      <c r="P20" t="n">
        <v/>
      </c>
      <c r="Q20" t="inlineStr">
        <is>
          <t>Arabic, English</t>
        </is>
      </c>
      <c r="R20" t="inlineStr">
        <is>
          <t>Bachelor — education technology and education — Faculty of specific education, zigzag university; Special diploma — department of education technology and information technology — Faculty of specific education, zigzag university</t>
        </is>
      </c>
      <c r="S20" t="inlineStr">
        <is>
          <t>Data Analysis, Graphic design, Web design</t>
        </is>
      </c>
      <c r="T20" t="inlineStr">
        <is>
          <t>International computer driving license (ICDL), Power Bi, Web development challenger track from ministry of communications and information technology</t>
        </is>
      </c>
      <c r="U20" t="inlineStr"/>
      <c r="V20" t="inlineStr">
        <is>
          <t>Technological principles and professional communication, Team work, Communication skills, Working under pressure, positive thinking, problem solving</t>
        </is>
      </c>
      <c r="W20" t="inlineStr">
        <is>
          <t>Data analyst, Presentation creator, Social media</t>
        </is>
      </c>
      <c r="X20" t="inlineStr">
        <is>
          <t>Storekeeper, Data entry specialist</t>
        </is>
      </c>
      <c r="Y20" t="inlineStr">
        <is>
          <t>Elsewedy industry group</t>
        </is>
      </c>
      <c r="Z20" t="inlineStr">
        <is>
          <t>taqnor, Elsewedy industry group Ismailia</t>
        </is>
      </c>
      <c r="AA20" t="n">
        <v/>
      </c>
      <c r="AB20" t="n">
        <v/>
      </c>
      <c r="AC20" t="inlineStr">
        <is>
          <t>DOC-20260809-WA0046.pdf</t>
        </is>
      </c>
      <c r="AD20" t="inlineStr">
        <is>
          <t>2026-09-27 20:53</t>
        </is>
      </c>
    </row>
    <row r="21">
      <c r="A21" t="inlineStr">
        <is>
          <t>CAND-2026-020</t>
        </is>
      </c>
      <c r="B21" t="inlineStr">
        <is>
          <t>AHMED MOHAMMED AHMED MAHMOUD</t>
        </is>
      </c>
      <c r="C21" t="inlineStr">
        <is>
          <t>Cheemail4444@gmail.com</t>
        </is>
      </c>
      <c r="D21" t="inlineStr">
        <is>
          <t>01002739125</t>
        </is>
      </c>
      <c r="E21" t="n">
        <v/>
      </c>
      <c r="F21" t="n">
        <v/>
      </c>
      <c r="G21" t="inlineStr">
        <is>
          <t>Ain Shams, Cairo, Egypt</t>
        </is>
      </c>
      <c r="H21" t="inlineStr">
        <is>
          <t>HSE Guide</t>
        </is>
      </c>
      <c r="I21" t="n">
        <v/>
      </c>
      <c r="J21" t="inlineStr">
        <is>
          <t>New</t>
        </is>
      </c>
      <c r="K21" t="n">
        <v/>
      </c>
      <c r="L21" t="n">
        <v>3.8</v>
      </c>
      <c r="M21" t="n">
        <v/>
      </c>
      <c r="O21" t="n">
        <v/>
      </c>
      <c r="P21" t="inlineStr">
        <is>
          <t>Successfully completed in 2023</t>
        </is>
      </c>
      <c r="Q21" t="inlineStr">
        <is>
          <t>Arabic: Native, English: B1 (Intermediate)</t>
        </is>
      </c>
      <c r="R21" t="inlineStr">
        <is>
          <t>Bachelor of Arts (B.A.) — History Department — Faculty of Arts, Ain Shams University</t>
        </is>
      </c>
      <c r="S21" t="inlineStr">
        <is>
          <t>HSE &amp; Safety Awareness, OSHA Standards, Customer Service, Quality Monitoring, First Aid</t>
        </is>
      </c>
      <c r="T21" t="inlineStr">
        <is>
          <t>Microsoft Office (Word, Excel, PowerPoint)</t>
        </is>
      </c>
      <c r="U21" t="inlineStr">
        <is>
          <t>Leadership &amp; Team Coordination, Deadline Management</t>
        </is>
      </c>
      <c r="V21" t="inlineStr">
        <is>
          <t>Problem Solving, Conflict Resolution, Working Under Pressure, Professional Communication, Patience &amp; Adaptability, Time Management</t>
        </is>
      </c>
      <c r="W21" t="inlineStr">
        <is>
          <t>Photography</t>
        </is>
      </c>
      <c r="X21" t="inlineStr">
        <is>
          <t>HSE Guide, Industrial Training, Customer Service Representative / Quality Monitoring, Social Studies Teaching Assistant</t>
        </is>
      </c>
      <c r="Y21" t="inlineStr">
        <is>
          <t>Telecommunications, Cable Manufacturing</t>
        </is>
      </c>
      <c r="Z21" t="inlineStr">
        <is>
          <t>Elsewedy Cables, e&amp;</t>
        </is>
      </c>
      <c r="AA21" t="inlineStr">
        <is>
          <t>Safety-focused professional with two years of customer service and quality monitoring experience at e&amp;, now developing a career in Health, Safety and Environment (HSE), with additional training exposure at Elsewedy Cables. Trained in OSHA construction and general industry standards, IOSH safety principles, and First Aid. Experienced in handling difficult situations, communicating with different personalities, resolving problems, working under pressure, and leading teams. Known for patience, professionalism, reliability, and completing work accurately and on time.</t>
        </is>
      </c>
      <c r="AB21" t="n">
        <v/>
      </c>
      <c r="AC21" t="inlineStr">
        <is>
          <t>Ahmed_Mohammed_ATS_Optimized_CV_v2.pdf</t>
        </is>
      </c>
      <c r="AD21" t="inlineStr">
        <is>
          <t>2026-09-27 20:53</t>
        </is>
      </c>
    </row>
    <row r="22">
      <c r="A22" t="inlineStr">
        <is>
          <t>CAND-2026-021</t>
        </is>
      </c>
      <c r="B22" t="inlineStr">
        <is>
          <t>Ahmed Mohammed Fawzi Nasef</t>
        </is>
      </c>
      <c r="C22" t="inlineStr">
        <is>
          <t>ahmednasef062@gmail.com</t>
        </is>
      </c>
      <c r="D22" t="inlineStr">
        <is>
          <t>(+20) 1069476503</t>
        </is>
      </c>
      <c r="E22" t="n">
        <v/>
      </c>
      <c r="F22" t="inlineStr">
        <is>
          <t>www.linkedin.com/in/ahmed-nasef-837034285</t>
        </is>
      </c>
      <c r="G22" t="inlineStr">
        <is>
          <t>El Mahalla - Egypt</t>
        </is>
      </c>
      <c r="H22" t="inlineStr">
        <is>
          <t>Fresh Graduate in Production and Mechanical Design Engineering</t>
        </is>
      </c>
      <c r="I22" t="n">
        <v/>
      </c>
      <c r="J22" t="inlineStr">
        <is>
          <t>New</t>
        </is>
      </c>
      <c r="K22" t="n">
        <v/>
      </c>
      <c r="L22" t="n">
        <v>0.9</v>
      </c>
      <c r="M22" t="n">
        <v/>
      </c>
      <c r="O22" t="n">
        <v/>
      </c>
      <c r="P22" t="n">
        <v/>
      </c>
      <c r="Q22" t="inlineStr">
        <is>
          <t>Arabic: Native Proficiency, English: B1 (Intermediate)</t>
        </is>
      </c>
      <c r="R22" t="inlineStr">
        <is>
          <t>Bachelor of Engineering — Production and Mechanical Design Engineering — Faculty of Engineering, Mansoura University</t>
        </is>
      </c>
      <c r="S22" t="inlineStr">
        <is>
          <t>Mold Design &amp; Injection Mold Fundamentals, Assembly Design, Engineering Drawings, 2D Drafting &amp; Technical Drawings, FEA Simulation Fundamentals, 3D Scanning, Reverse Engineering, Mechanical Design, Fabrication, Automation, Industrial Application, Quality Control, Production Planning, Manufacturing Processes, Product Development, Mold Components, Parting Lines, Cooling Systems, Ejector Systems, DFM Principles, Structural Analysis, Stress Distribution, Deformation, Simulation Workflows, Mesh Processing, CAD Model Reconstruction, Industrial Safety, Workflow Standards, Equipment Inspection, Preventive Maintenance</t>
        </is>
      </c>
      <c r="T22" t="inlineStr">
        <is>
          <t>Solidworks, AutoCAD, ANSYS, Geomagic, Microsoft Excel, Microsoft Word, Microsoft PowerPoint</t>
        </is>
      </c>
      <c r="U22" t="inlineStr">
        <is>
          <t>Production Line Operations, Scheduling</t>
        </is>
      </c>
      <c r="V22" t="inlineStr">
        <is>
          <t>Problem Solving, Communication Skills, Fast Learning, Research Skills, Teamwork, Time Management</t>
        </is>
      </c>
      <c r="W22" t="inlineStr"/>
      <c r="X22" t="inlineStr">
        <is>
          <t>Production &amp; Quality Control Trainee, Mechanical Maintenance Trainee</t>
        </is>
      </c>
      <c r="Y22" t="inlineStr">
        <is>
          <t>Manufacturing, Packaging, Petroleum</t>
        </is>
      </c>
      <c r="Z22" t="inlineStr">
        <is>
          <t>Ghazl El Mahalla Company, Cubii Packaging Company, General Petroleum Company</t>
        </is>
      </c>
      <c r="AA22" t="inlineStr">
        <is>
          <t>Fresh Production Engineering graduate with specialized training in mold design, plastic injection tooling, and CAD modeling. Proficient in SolidWorks, AutoCAD, ANSYS, and Geomagic with hands-on industrial exposure to manufacturing processes, quality control, and production planning. Seeking to contribute technical skills in mold design, tooling, and product development within a manufacturing environment.</t>
        </is>
      </c>
      <c r="AB22" t="n">
        <v/>
      </c>
      <c r="AC22" t="inlineStr">
        <is>
          <t>cv-1.pdf</t>
        </is>
      </c>
      <c r="AD22" t="inlineStr">
        <is>
          <t>2026-09-27 20:53</t>
        </is>
      </c>
    </row>
    <row r="23">
      <c r="A23" t="inlineStr">
        <is>
          <t>CAND-2026-022</t>
        </is>
      </c>
      <c r="B23" t="inlineStr">
        <is>
          <t>MOHAMED SAEED</t>
        </is>
      </c>
      <c r="C23" t="inlineStr">
        <is>
          <t>Gedoeldewery23@gmail.com</t>
        </is>
      </c>
      <c r="D23" t="inlineStr">
        <is>
          <t>(+20) 1202562133</t>
        </is>
      </c>
      <c r="E23" t="n">
        <v/>
      </c>
      <c r="F23" t="n">
        <v/>
      </c>
      <c r="G23" t="inlineStr">
        <is>
          <t>Al-Sharqia, Abu Hammad, El-Sawa, Egypt</t>
        </is>
      </c>
      <c r="H23" t="inlineStr">
        <is>
          <t>QUALITY ASSURANCE / QC ENGINEER</t>
        </is>
      </c>
      <c r="I23" t="n">
        <v/>
      </c>
      <c r="J23" t="inlineStr">
        <is>
          <t>New</t>
        </is>
      </c>
      <c r="K23" t="n">
        <v/>
      </c>
      <c r="L23" t="n">
        <v/>
      </c>
      <c r="M23" t="n">
        <v/>
      </c>
      <c r="N23" t="n">
        <v/>
      </c>
      <c r="O23" t="n">
        <v/>
      </c>
      <c r="P23" t="n">
        <v/>
      </c>
      <c r="Q23" t="inlineStr">
        <is>
          <t>Arabic: Native, English: Professional</t>
        </is>
      </c>
      <c r="R23" t="inlineStr">
        <is>
          <t>Bachelor’s Degree — Agricultural Sciences — Al-Azhar University</t>
        </is>
      </c>
      <c r="S23" t="inlineStr">
        <is>
          <t>Food Safety Management, Line Inspection, Quality Documentation, Sanitation &amp; Hygiene, Food Safety Standards, CCP Monitoring, Production Inspection, Food Safety Management System, Hazard Analysis &amp; Critical Control Points, Good Manufacturing Practices, National Food Safety Authority, Quality Assurance (QA), Quality Control (QC)</t>
        </is>
      </c>
      <c r="T23" t="inlineStr">
        <is>
          <t>Microsoft Office, Microsoft Excel &amp; Word</t>
        </is>
      </c>
      <c r="U23" t="inlineStr">
        <is>
          <t>Supervised hygiene protocols, Enforced strict adherence to GMP, Monitored temperature controls</t>
        </is>
      </c>
      <c r="V23" t="inlineStr">
        <is>
          <t>Problem Solving</t>
        </is>
      </c>
      <c r="W23" t="inlineStr"/>
      <c r="X23" t="inlineStr">
        <is>
          <t>Quality Control Trainee</t>
        </is>
      </c>
      <c r="Y23" t="inlineStr">
        <is>
          <t>food processing industries, tomato paste, fruit concentrates, and natural juice packaging</t>
        </is>
      </c>
      <c r="Z23" t="inlineStr">
        <is>
          <t>Al Shams Agro Group, Fresh Farm – El Obour</t>
        </is>
      </c>
      <c r="AA23" t="inlineStr">
        <is>
          <t>Detail-oriented and dedicated Quality Control Engineer with a strong academic background in Agricultural Sciences from Al-Azhar University (Class of 2024). Possesses hands-on training experience in food processing industries, including tomato paste, fruit concentrates, juice packaging, and processed meats. In-depth understanding of international food safety systems (ISO 22000, HACCP, GMP) and National Food Safety Authority (NFSA) regulations. Committed to maintaining high standards of food quality and safety.</t>
        </is>
      </c>
      <c r="AB23" t="n">
        <v/>
      </c>
      <c r="AC23" t="inlineStr">
        <is>
          <t>Mohamed_Saeed_CV_With_Photo.pdf</t>
        </is>
      </c>
      <c r="AD23" t="inlineStr">
        <is>
          <t>2026-09-27 20:53</t>
        </is>
      </c>
    </row>
    <row r="24">
      <c r="A24" t="inlineStr">
        <is>
          <t>CAND-2026-023</t>
        </is>
      </c>
      <c r="B24" t="inlineStr">
        <is>
          <t>Ahmed Mohamed Lashen</t>
        </is>
      </c>
      <c r="C24" t="inlineStr">
        <is>
          <t>ahmedtawfeek181@gmail.com</t>
        </is>
      </c>
      <c r="D24" t="inlineStr">
        <is>
          <t>(+20) 1125264337</t>
        </is>
      </c>
      <c r="E24" t="n">
        <v/>
      </c>
      <c r="F24" t="n">
        <v/>
      </c>
      <c r="G24" t="inlineStr">
        <is>
          <t>Quewisna, El-Menoufia, Egypt</t>
        </is>
      </c>
      <c r="H24" t="inlineStr">
        <is>
          <t>Production Engineer</t>
        </is>
      </c>
      <c r="I24" t="n">
        <v/>
      </c>
      <c r="J24" t="inlineStr">
        <is>
          <t>New</t>
        </is>
      </c>
      <c r="K24" t="n">
        <v/>
      </c>
      <c r="L24" t="n">
        <v>3.7</v>
      </c>
      <c r="M24" t="n">
        <v/>
      </c>
      <c r="O24" t="n">
        <v/>
      </c>
      <c r="P24" t="n">
        <v/>
      </c>
      <c r="Q24" t="inlineStr">
        <is>
          <t>Arabic : Mother tongue., English : Conversational (B2)</t>
        </is>
      </c>
      <c r="R24" t="inlineStr">
        <is>
          <t>Bachelor degree — mechanical engineering department(section of production engineering and Mechanical design) — Faculty of engineering menoufia University</t>
        </is>
      </c>
      <c r="S24" t="inlineStr">
        <is>
          <t>Production Planning, Extrusion lines, Injection Molding machines, Standard Operating Procedures (SOPs), Raw Material Management, PE/PP pellets, Masterbatch, Process Control, polymer process variables, Root Cause Analysis, Breakdown Management, Predictive Maintenance (PdM), vibration analysis, oil analysis, MRO Inventory, Asset Inventory</t>
        </is>
      </c>
      <c r="T24" t="inlineStr">
        <is>
          <t>Microsoft programs (Word, Excel, PowerPoint, etc.), G.Drive, G.Sheets, OneDrive, Gmail, Outlook, Canva, CMMS, solid program, SAP</t>
        </is>
      </c>
      <c r="U24" t="inlineStr">
        <is>
          <t>Operations Management, Shift &amp; Production Scheduling, Process Oversight, Waste Reduction, Maintenance, Repair, and Operations (MRO) Inventory, Asset Documentation</t>
        </is>
      </c>
      <c r="V24" t="inlineStr">
        <is>
          <t>Hard worker, Self-motivated, Teamwork, Time management, Problem-solving, Leadership, Organizing and prioritizing, Customer service, Project management, Communication, Work under pressure, Adaptability, Administrative, Attention to detail, Search Skills</t>
        </is>
      </c>
      <c r="W24" t="inlineStr"/>
      <c r="X24" t="inlineStr">
        <is>
          <t>Production Engineer, Maintenance Engineer</t>
        </is>
      </c>
      <c r="Y24" t="inlineStr">
        <is>
          <t>Plastic Manufacturing</t>
        </is>
      </c>
      <c r="Z24" t="inlineStr">
        <is>
          <t>El-Quds Company for Plastic, Ceramica Royal Company</t>
        </is>
      </c>
      <c r="AA24" t="inlineStr">
        <is>
          <t>Iam Production Mechanical Engineer and responsible for planning, coordinating, and overseeing all stages of production and manufacturing to ensure the highest levels of efficiency, quality, and cost reduction. The role involves improving and developing mechanical processes and equipment to achieve optimal performance.</t>
        </is>
      </c>
      <c r="AB24" t="n">
        <v/>
      </c>
      <c r="AC24" t="inlineStr">
        <is>
          <t>Ahmed Mohamed Lashen 2 Cv.pdf</t>
        </is>
      </c>
      <c r="AD24" t="inlineStr">
        <is>
          <t>2026-09-27 20:53</t>
        </is>
      </c>
    </row>
    <row r="25">
      <c r="A25" t="inlineStr">
        <is>
          <t>CAND-2026-024</t>
        </is>
      </c>
      <c r="B25" t="inlineStr">
        <is>
          <t>Hamada shuman</t>
        </is>
      </c>
      <c r="C25" t="inlineStr">
        <is>
          <t>m.hamadashuman@yahoo.com</t>
        </is>
      </c>
      <c r="D25" t="inlineStr">
        <is>
          <t>'+968 92 198 733, +20 102 134 5403</t>
        </is>
      </c>
      <c r="E25" t="n">
        <v/>
      </c>
      <c r="F25" t="inlineStr">
        <is>
          <t>https://www.linkedin.com/in/hamada-shuman-1445089a</t>
        </is>
      </c>
      <c r="G25" t="inlineStr">
        <is>
          <t>Egypt</t>
        </is>
      </c>
      <c r="H25" t="inlineStr">
        <is>
          <t>Senior Data Engineer</t>
        </is>
      </c>
      <c r="I25" t="n">
        <v/>
      </c>
      <c r="J25" t="inlineStr">
        <is>
          <t>New</t>
        </is>
      </c>
      <c r="K25" t="n">
        <v/>
      </c>
      <c r="L25" t="n">
        <v>16.7</v>
      </c>
      <c r="M25" t="n">
        <v/>
      </c>
      <c r="O25" t="n">
        <v/>
      </c>
      <c r="P25" t="inlineStr">
        <is>
          <t>Exempted</t>
        </is>
      </c>
      <c r="Q25" t="inlineStr">
        <is>
          <t>Arabic: Native, English: Very good</t>
        </is>
      </c>
      <c r="R25" t="inlineStr">
        <is>
          <t>Bachelor of Science (B.Sc.) — Special Geology — Al-Azhar University, Egypt</t>
        </is>
      </c>
      <c r="S25" t="inlineStr">
        <is>
          <t>Real-Time Drilling Data Monitoring, Formation Evaluation &amp; Geological Interpretation, Mud Logging Systems, Gas Detection &amp; UV Analysis, Pressure &amp; Flow Rate Analysis, Well Correlation &amp; Formation Tops, Drilling Optimization, HSE Compliance &amp; Rig Safety</t>
        </is>
      </c>
      <c r="T25" t="inlineStr">
        <is>
          <t>Microsoft Office</t>
        </is>
      </c>
      <c r="U25" t="inlineStr">
        <is>
          <t>Managing and analyzing pressure, temperature, and flow rate systems, Conducting routine equipment diagnostics and system inspections, Integrating field data into digital platforms, Performing advanced formation evaluation and lithological interpretation, Executing accurate well correlation and stratigraphic analysis, Monitoring real-time mud logging systems and gas levels, Preparing detailed daily drilling reports and geological logs, Applying real-time drilling data acquisition systems, Utilizing UV Box and gas detection technologies, Analyzing geological samples and drilling parameters, Generating comprehensive mud logs and gas reports</t>
        </is>
      </c>
      <c r="V25" t="inlineStr">
        <is>
          <t>Time Management, Teamwork, Effective Communication, Leadership, Problem Solving, Negotiation, Flexibility</t>
        </is>
      </c>
      <c r="W25" t="inlineStr"/>
      <c r="X25" t="inlineStr">
        <is>
          <t>Senior Data Engineer, Production Engineer, Deputy production Manager, Senior Wellsite Geologist &amp; Data Engineer, Mud Logging Engineer &amp; Data Engineer</t>
        </is>
      </c>
      <c r="Y25" t="inlineStr">
        <is>
          <t>oil and gas, U-PVC &amp; PE Pipes</t>
        </is>
      </c>
      <c r="Z25" t="inlineStr">
        <is>
          <t>SIGMA for Oil and Gas Field Services LLC, Misr El Hegaz Group, Al Rowad El Hegaz, Dar Al-Sahra Energy Services (DAS), Electronic Construction Services (ECS)</t>
        </is>
      </c>
      <c r="AA25" t="inlineStr">
        <is>
          <t>Result-oriented Senior Data Engineer &amp; Wellsite Geologist with over 15 years of extensive experience in the oil and gas industry across Egypt and Oman. Proven expertise in real-time drilling data monitoring, formation evaluation, mud logging, and gas detection for major operators including OXY, PDO, Daleel, and Bapetco. Highly skilled in optimizing drilling parameters, reservoir characterization, wellsite operations, and HSE compliance, with a strong track record of delivering high-accuracy geological and operational reports that support decision-making and maximize drilling efficiency.</t>
        </is>
      </c>
      <c r="AB25" t="n">
        <v/>
      </c>
      <c r="AC25" t="inlineStr">
        <is>
          <t>Hamada shuman 9-2026.pdf</t>
        </is>
      </c>
      <c r="AD25" t="inlineStr">
        <is>
          <t>2026-09-27 20:53</t>
        </is>
      </c>
    </row>
    <row r="26">
      <c r="A26" t="inlineStr">
        <is>
          <t>CAND-2026-025</t>
        </is>
      </c>
      <c r="B26" t="inlineStr">
        <is>
          <t>Ahmed Hamdy Mohamed Ahmed</t>
        </is>
      </c>
      <c r="C26" t="inlineStr">
        <is>
          <t>ahmad.hamdy9324@gmail.com</t>
        </is>
      </c>
      <c r="D26" t="inlineStr">
        <is>
          <t>'+2 0106 686 5476</t>
        </is>
      </c>
      <c r="E26" t="n">
        <v>26</v>
      </c>
      <c r="F26" t="n">
        <v/>
      </c>
      <c r="G26" t="inlineStr">
        <is>
          <t>Belbeis – El-sharkia – Egypt</t>
        </is>
      </c>
      <c r="H26" t="inlineStr">
        <is>
          <t>Production Engineer – Plastic Injection Molding</t>
        </is>
      </c>
      <c r="I26" t="n">
        <v/>
      </c>
      <c r="J26" t="inlineStr">
        <is>
          <t>New</t>
        </is>
      </c>
      <c r="K26" t="n">
        <v/>
      </c>
      <c r="L26" t="n">
        <v>5.5</v>
      </c>
      <c r="M26" t="n">
        <v/>
      </c>
      <c r="O26" t="inlineStr">
        <is>
          <t>Single</t>
        </is>
      </c>
      <c r="P26" t="inlineStr">
        <is>
          <t>Completed</t>
        </is>
      </c>
      <c r="Q26" t="inlineStr">
        <is>
          <t>Arabic – Native, English – Good (Speaking, Writing, Listening)</t>
        </is>
      </c>
      <c r="R26" t="inlineStr">
        <is>
          <t>Bachelor of Agricultural Engineering — Agricultural Engineering — Al-Azhar University</t>
        </is>
      </c>
      <c r="S26" t="inlineStr">
        <is>
          <t>Plastic Injection Molding Process Knowledge, Production Process Monitoring &amp; Improvement, Injection Defects Troubleshooting, Quality Control &amp; Inspection, Plastic Pipes &amp; Fittings Testing, Production Reporting &amp; Data Analysis, Waste Reduction &amp; Process Optimization, Understanding of ISO/DIN Standards, Laboratory Equipment Calibration &amp; Maintenance, Lean Manufacturing, 5S, and Kaizen</t>
        </is>
      </c>
      <c r="T26" t="inlineStr">
        <is>
          <t>Microsoft Office (Excel, Word, PowerPoint), Odoo</t>
        </is>
      </c>
      <c r="U26" t="inlineStr">
        <is>
          <t>Production tracking, Reporting, Cross-department coordination</t>
        </is>
      </c>
      <c r="V26" t="inlineStr">
        <is>
          <t>Teamwork, Problem Solving</t>
        </is>
      </c>
      <c r="W26" t="inlineStr"/>
      <c r="X26" t="inlineStr">
        <is>
          <t>Production Engineering, Lab Engineer, Quality Control Engineer</t>
        </is>
      </c>
      <c r="Y26" t="inlineStr">
        <is>
          <t>Plastic Manufacturing</t>
        </is>
      </c>
      <c r="Z26" t="inlineStr">
        <is>
          <t>CL For Plastic Pipe, CL for Plastic Pipes, Alrowad for Plastic Pipes</t>
        </is>
      </c>
      <c r="AA26" t="inlineStr">
        <is>
          <t>Production Engineer with solid experience in plastic manufacturing, injection molding operations, laboratory testing and quality control within industrial environments. Skilled in process monitoring, troubleshooting production issues, reducing scrap rates, and improving overall efficiency. Good understanding of production system and digital manufacturing tools including ERP system such as Odoo, with experience in tracking KPIs, managing production reporting, and working with Bill of Materials (BOM) based workflows. Previous experience in laboratory testing and quality control for plastic pipe and fittings has strengthened knowledge of ISO/DIN standards and material behavior, supporting stable and controlled production processes.</t>
        </is>
      </c>
      <c r="AB26" t="n">
        <v/>
      </c>
      <c r="AC26" t="inlineStr">
        <is>
          <t>Ahmed_Hamdy_CV_CV.pdf</t>
        </is>
      </c>
      <c r="AD26" t="inlineStr">
        <is>
          <t>2026-09-27 20:53</t>
        </is>
      </c>
    </row>
    <row r="27">
      <c r="A27" t="inlineStr">
        <is>
          <t>CAND-2026-026</t>
        </is>
      </c>
      <c r="B27" t="inlineStr">
        <is>
          <t>Atef Emad Saber Ahmed</t>
        </is>
      </c>
      <c r="C27" t="inlineStr">
        <is>
          <t>Atefmopasher@icloud.com</t>
        </is>
      </c>
      <c r="D27" t="inlineStr">
        <is>
          <t>010-324-19496</t>
        </is>
      </c>
      <c r="E27" t="n">
        <v/>
      </c>
      <c r="F27" t="n">
        <v/>
      </c>
      <c r="G27" t="inlineStr">
        <is>
          <t>Zagazig, El-Sharqia, Egypt</t>
        </is>
      </c>
      <c r="H27" t="inlineStr">
        <is>
          <t>Production &amp; Quality Control Engineer</t>
        </is>
      </c>
      <c r="I27" t="n">
        <v/>
      </c>
      <c r="J27" t="inlineStr">
        <is>
          <t>New</t>
        </is>
      </c>
      <c r="K27" t="n">
        <v/>
      </c>
      <c r="L27" t="n">
        <v>4.7</v>
      </c>
      <c r="M27" t="n">
        <v/>
      </c>
      <c r="O27" t="n">
        <v/>
      </c>
      <c r="P27" t="n">
        <v/>
      </c>
      <c r="Q27" t="inlineStr">
        <is>
          <t>Arabic: Native, English: Good (Reading, Writing, and Speaking)</t>
        </is>
      </c>
      <c r="R27" t="inlineStr">
        <is>
          <t>Bachelor of Commerce — Accounting — Zagazig University</t>
        </is>
      </c>
      <c r="S27" t="inlineStr">
        <is>
          <t>Production Planning, Quality Control, Laboratory Testing, Data Analysis</t>
        </is>
      </c>
      <c r="T27" t="inlineStr">
        <is>
          <t>Microsoft Office, Word, Excel, PowerPoint</t>
        </is>
      </c>
      <c r="U27" t="inlineStr">
        <is>
          <t>Supervising Production Lines, Workflow Monitoring, Maintenance Coordination</t>
        </is>
      </c>
      <c r="V27" t="inlineStr">
        <is>
          <t>Communication, Teamwork, Working Under Pressure</t>
        </is>
      </c>
      <c r="W27" t="inlineStr">
        <is>
          <t>ICDL Certified, Accounting Principles</t>
        </is>
      </c>
      <c r="X27" t="inlineStr">
        <is>
          <t>Production &amp; Quality Control Engineer, Production Follow-up Officer, Data Entry Clerk</t>
        </is>
      </c>
      <c r="Y27" t="inlineStr">
        <is>
          <t>Plastic Manufacturing, Food Industries</t>
        </is>
      </c>
      <c r="Z27" t="inlineStr">
        <is>
          <t>Techno Pipe (U.P.V.C &amp; HDPE), Bona Food Industries, Yalla Nelaab Sports Company</t>
        </is>
      </c>
      <c r="AA27" t="inlineStr">
        <is>
          <t>A Bachelor of Commerce (Accounting) graduate seeking a professional opportunity where I can utilize my skills in production follow-up, quality control, reporting, and data analysis, while gaining further practical experience and contributing to organizational efficiency and success.</t>
        </is>
      </c>
      <c r="AB27" t="n">
        <v/>
      </c>
      <c r="AC27" t="inlineStr">
        <is>
          <t>Atef cv .pdf</t>
        </is>
      </c>
      <c r="AD27" t="inlineStr">
        <is>
          <t>2026-09-27 20:53</t>
        </is>
      </c>
    </row>
    <row r="28">
      <c r="A28" t="inlineStr">
        <is>
          <t>CAND-2026-027</t>
        </is>
      </c>
      <c r="B28" t="inlineStr">
        <is>
          <t>YOUSEF ABDEL-NASSER ATTIA</t>
        </is>
      </c>
      <c r="C28" t="inlineStr">
        <is>
          <t>Myosseffnasser177@gmail.com</t>
        </is>
      </c>
      <c r="D28" t="inlineStr">
        <is>
          <t>'+20 1095519179</t>
        </is>
      </c>
      <c r="E28" t="n">
        <v/>
      </c>
      <c r="F28" t="n">
        <v/>
      </c>
      <c r="G28" t="inlineStr">
        <is>
          <t>Cairo, Elmohandseen</t>
        </is>
      </c>
      <c r="H28" t="inlineStr">
        <is>
          <t>Production &amp; Quality Engineer</t>
        </is>
      </c>
      <c r="I28" t="n">
        <v/>
      </c>
      <c r="J28" t="inlineStr">
        <is>
          <t>New</t>
        </is>
      </c>
      <c r="K28" t="n">
        <v/>
      </c>
      <c r="L28" t="n">
        <v/>
      </c>
      <c r="M28" t="n">
        <v/>
      </c>
      <c r="N28" t="n">
        <v/>
      </c>
      <c r="O28" t="n">
        <v/>
      </c>
      <c r="P28" t="n">
        <v/>
      </c>
      <c r="Q28" t="inlineStr">
        <is>
          <t>Arabic (Native Tongue), English (Intermediate)</t>
        </is>
      </c>
      <c r="R28" t="inlineStr">
        <is>
          <t>Bachelor of Technology — Mechatronics — Faculty of Technology and Education, Helwan University; Diploma — Graphics — Industrial Technical Institute - Graphic Department</t>
        </is>
      </c>
      <c r="S28" t="inlineStr">
        <is>
          <t>Engineering Drawing, Sheet Metal Design, Quality Control Systems, Production Planning, Process Improvement</t>
        </is>
      </c>
      <c r="T28" t="inlineStr">
        <is>
          <t>SolidWorks, SolidWorks Simulation, CAD Modeling, Arduino, C++, Visual Basic, HTML, CSS, PHP, MySQL, Java, Adobe Photoshop, Adobe Illustrator, Microsoft Office Suite</t>
        </is>
      </c>
      <c r="U28" t="inlineStr">
        <is>
          <t>Team Leadership, Production Management</t>
        </is>
      </c>
      <c r="V28" t="inlineStr">
        <is>
          <t>Problem Solving, Time Management, Cross-functional Coordination</t>
        </is>
      </c>
      <c r="W28" t="inlineStr"/>
      <c r="X28" t="inlineStr">
        <is>
          <t>Production &amp; Quality Engineer</t>
        </is>
      </c>
      <c r="Y28" t="inlineStr">
        <is>
          <t>Industrial Manufacturing, Kitchen Equipment Manufacturing</t>
        </is>
      </c>
      <c r="Z28" t="inlineStr">
        <is>
          <t>D-Max for Kitchen Equipment</t>
        </is>
      </c>
      <c r="AA28" t="inlineStr">
        <is>
          <t>Detail-oriented Mechatronics &amp; Production Engineer with hands-on experience in industrial manufacturing, process optimization, and quality control. Proven track record of developing and implementing comprehensive production systems and quality frameworks at D-Max for Kitchen Equipment. Proficient in SolidWorks, CAD design, sheet metal design, and automated systems. Seeking to leverage technical expertise and operational management skills to drive productivity and standards in a dynamic engineering role.</t>
        </is>
      </c>
      <c r="AB28" t="n">
        <v/>
      </c>
      <c r="AC28" t="inlineStr">
        <is>
          <t>Yousef Abdel-Nasser Attia - CV_260915_163154.pdf</t>
        </is>
      </c>
      <c r="AD28" t="inlineStr">
        <is>
          <t>2026-09-27 20:53</t>
        </is>
      </c>
    </row>
    <row r="29">
      <c r="A29" t="inlineStr">
        <is>
          <t>CAND-2026-028</t>
        </is>
      </c>
      <c r="B29" t="inlineStr">
        <is>
          <t>HAMADA ABDELAZIZ MOHAMED ELASSAR</t>
        </is>
      </c>
      <c r="C29" t="inlineStr">
        <is>
          <t>elassarhamada54@gmail.com</t>
        </is>
      </c>
      <c r="D29" t="inlineStr">
        <is>
          <t>'+201065544394</t>
        </is>
      </c>
      <c r="E29" t="n">
        <v/>
      </c>
      <c r="F29" t="n">
        <v/>
      </c>
      <c r="G29" t="inlineStr">
        <is>
          <t>Suez - Egypt</t>
        </is>
      </c>
      <c r="H29" t="inlineStr">
        <is>
          <t>Manufacturing Manager</t>
        </is>
      </c>
      <c r="I29" t="n">
        <v/>
      </c>
      <c r="J29" t="inlineStr">
        <is>
          <t>New</t>
        </is>
      </c>
      <c r="K29" t="n">
        <v/>
      </c>
      <c r="L29" t="n">
        <v>25.7</v>
      </c>
      <c r="M29" t="n">
        <v/>
      </c>
      <c r="O29" t="n">
        <v/>
      </c>
      <c r="P29" t="n">
        <v/>
      </c>
      <c r="Q29" t="inlineStr">
        <is>
          <t>Arabic: Native, English: Very Good</t>
        </is>
      </c>
      <c r="R29" t="inlineStr">
        <is>
          <t>Bachelor of Science — Food Science &amp; Technology — Suez Canal University, Faculty of Agriculture</t>
        </is>
      </c>
      <c r="S29" t="inlineStr">
        <is>
          <t>Food Safety Standards (HACCP, GMP, FDA, ISO), Production Management &amp; Optimization, Quality Control &amp; Assurance, Process Improvement &amp; Efficiency, Strategic Cost Control &amp; Budgeting, Advanced Equipment Maintenance, Proactive Troubleshooting, Strategic Project Management, Key Production Metrics (Yield, Waste, Downtime), Supply Chain &amp; Inventory Coordination</t>
        </is>
      </c>
      <c r="T29" t="inlineStr">
        <is>
          <t>ERP Systems Management (SAP, BAAN), Advanced Microsoft Office Suite, Data Analytics &amp; Visualization Reporting, Automated Production Scheduling Software, Integrated Quality Management Platforms, Microsoft Excel</t>
        </is>
      </c>
      <c r="U29" t="inlineStr">
        <is>
          <t>Supervise and mentor cross-functional teams, Manage operational budgets and resource allocation, Lead safety initiatives, Supervise quality control procedures</t>
        </is>
      </c>
      <c r="V29" t="inlineStr">
        <is>
          <t>Transformational Leadership &amp; Team Management, Complex Problem-Solving &amp; Decision Making, Talent Development &amp; Performance Management, Analytical Critical Thinking, Effective Conflict Resolution, Strategic Planning &amp; Execution, Interpersonal Communication Excellence, Advanced Time Management, High Adaptability &amp; Organizational Flexibility, Collaborative Team Building, Leadership</t>
        </is>
      </c>
      <c r="W29" t="inlineStr"/>
      <c r="X29" t="inlineStr">
        <is>
          <t>Manufacturing Manager, Production Manager, Intern</t>
        </is>
      </c>
      <c r="Y29" t="inlineStr">
        <is>
          <t>Food Manufacturing, FMCG</t>
        </is>
      </c>
      <c r="Z29" t="inlineStr">
        <is>
          <t>Abdos FMCG, IFFCO Beauty Egypt, IFFCO Egypt, Al-Safdy Group</t>
        </is>
      </c>
      <c r="AA29" t="inlineStr">
        <is>
          <t>Seasoned Food Manufacturing Manager with over 27 years of extensive expertise in production management, food safety, and quality assurance systems (ISO, HACCP, GMP). Demonstrated track record in leading high-performing teams to optimize production efficiency by 15%, significantly reduce operational waste, and enhance cost control strategies. Dedicated to maintaining strict compliance with international industry standards and spearheading continuous process optimization to achieve operational excellence. Proficient in managing large-scale manufacturing facilities, successfully overseeing operations with a budget exceeding $5M, and consistently driving production output growth while ensuring the highest quality standards.</t>
        </is>
      </c>
      <c r="AB29" t="n">
        <v/>
      </c>
      <c r="AC29" t="inlineStr">
        <is>
          <t>Hamada Abdelaziz Mohamed Elassar.pdf</t>
        </is>
      </c>
      <c r="AD29" t="inlineStr">
        <is>
          <t>2026-09-27 20:53</t>
        </is>
      </c>
    </row>
    <row r="30">
      <c r="A30" t="inlineStr">
        <is>
          <t>CAND-2026-029</t>
        </is>
      </c>
      <c r="B30" t="inlineStr">
        <is>
          <t>Mahmoud Qabeel</t>
        </is>
      </c>
      <c r="C30" t="inlineStr">
        <is>
          <t>mhmoudqbeel@gmail.com</t>
        </is>
      </c>
      <c r="D30" t="inlineStr">
        <is>
          <t>'+201090929945</t>
        </is>
      </c>
      <c r="E30" t="n">
        <v/>
      </c>
      <c r="F30" t="inlineStr">
        <is>
          <t>http://linkedin.com/in/mahmoudqbeel</t>
        </is>
      </c>
      <c r="G30" t="inlineStr">
        <is>
          <t>Menouf district, Menoufia Governorate, Egypt</t>
        </is>
      </c>
      <c r="H30" t="inlineStr">
        <is>
          <t>HSE Specialist</t>
        </is>
      </c>
      <c r="I30" t="n">
        <v/>
      </c>
      <c r="J30" t="inlineStr">
        <is>
          <t>New</t>
        </is>
      </c>
      <c r="K30" t="n">
        <v/>
      </c>
      <c r="L30" t="n">
        <v>2.6</v>
      </c>
      <c r="M30" t="n">
        <v/>
      </c>
      <c r="O30" t="n">
        <v/>
      </c>
      <c r="P30" t="n">
        <v/>
      </c>
      <c r="Q30" t="inlineStr"/>
      <c r="R30" t="inlineStr">
        <is>
          <t>Bachelor of Science — Minufia University</t>
        </is>
      </c>
      <c r="S30" t="inlineStr">
        <is>
          <t>Risk Assessments, Site Audits, Incident Investigations, Emergency Planning, Permit to Work (PTW), Civil Protection and Fire Prevention and Extinguish, First Aid and Facing Disasters</t>
        </is>
      </c>
      <c r="T30" t="inlineStr"/>
      <c r="U30" t="inlineStr">
        <is>
          <t>Compliance Monitoring, Safety Training</t>
        </is>
      </c>
      <c r="V30" t="inlineStr">
        <is>
          <t>Proactive, Emergency Response</t>
        </is>
      </c>
      <c r="W30" t="inlineStr">
        <is>
          <t>OSHA, ISO 45001, ISO 14001, IOSH Managing Safely, Occupational Safety and Health Specialist</t>
        </is>
      </c>
      <c r="X30" t="inlineStr">
        <is>
          <t>HSE Specialist</t>
        </is>
      </c>
      <c r="Y30" t="inlineStr">
        <is>
          <t>Textile, Denim Manufacturing</t>
        </is>
      </c>
      <c r="Z30" t="inlineStr">
        <is>
          <t>Sharabati Denim, Kazareen Textile Company</t>
        </is>
      </c>
      <c r="AA30" t="inlineStr">
        <is>
          <t>HSE Specialist with 2 years of experience in developing and overseeing occupational health and safety management systems. Proven expertise in performing Risk Assessments, Site Audits, and Incident Investigations to ensure a zero-accident environment. Adept at ensuring full compliance with OSHA, ISO 45001, and ISO 14001 standards while fostering a proactive safety culture across all organizational levels.</t>
        </is>
      </c>
      <c r="AB30" t="n">
        <v/>
      </c>
      <c r="AC30" t="inlineStr">
        <is>
          <t>Mahmoud Qabeel CV.pdf</t>
        </is>
      </c>
      <c r="AD30" t="inlineStr">
        <is>
          <t>2026-09-27 20:53</t>
        </is>
      </c>
    </row>
    <row r="31">
      <c r="A31" t="inlineStr">
        <is>
          <t>CAND-2026-030</t>
        </is>
      </c>
      <c r="B31" t="inlineStr">
        <is>
          <t>IBRAHIM HAMDY BADR</t>
        </is>
      </c>
      <c r="C31" t="inlineStr">
        <is>
          <t>ibrahim.hamdy910@gmail.com</t>
        </is>
      </c>
      <c r="D31" t="inlineStr">
        <is>
          <t>'+201116680188</t>
        </is>
      </c>
      <c r="E31" t="n">
        <v/>
      </c>
      <c r="F31" t="n">
        <v/>
      </c>
      <c r="G31" t="n">
        <v/>
      </c>
      <c r="H31" t="inlineStr">
        <is>
          <t>Production Manager</t>
        </is>
      </c>
      <c r="I31" t="n">
        <v/>
      </c>
      <c r="J31" t="inlineStr">
        <is>
          <t>New</t>
        </is>
      </c>
      <c r="K31" t="n">
        <v/>
      </c>
      <c r="L31" t="n">
        <v>6.7</v>
      </c>
      <c r="M31" t="n">
        <v/>
      </c>
      <c r="O31" t="n">
        <v/>
      </c>
      <c r="P31" t="n">
        <v/>
      </c>
      <c r="Q31" t="inlineStr"/>
      <c r="R31" t="inlineStr">
        <is>
          <t>Bachelor of Science — Special Chemistry — Helwan University</t>
        </is>
      </c>
      <c r="S31" t="inlineStr">
        <is>
          <t>Production operations, UPVC mixing department, Developing pipe formulations, Injection molding compounds, Manufacturing of pipes, PVC compounds manufacturing, Rigid / Flexible / Extrusion / Injection Grades</t>
        </is>
      </c>
      <c r="T31" t="inlineStr"/>
      <c r="U31" t="inlineStr">
        <is>
          <t>Leading production operations, Managing the UPVC mixing department, Coordinating between production lines and technical teams, Overseeing the manufacturing of pipes</t>
        </is>
      </c>
      <c r="V31" t="inlineStr">
        <is>
          <t>Work under pressure, Communication, Presentation, Public relation, Organization, Prioritization, Control and analysis of problems, Problem solving, Decision making, Critical thinking, Self-motivated, Flexible, Attention to details, Planning and organizing, Influence and convince others, Negotiation and discussion to reach agreements, Customer relationship management</t>
        </is>
      </c>
      <c r="W31" t="inlineStr"/>
      <c r="X31" t="inlineStr">
        <is>
          <t>Production Manager, Production engineer, Quality Engineer &amp; Researcher, Quality and Production Engineer</t>
        </is>
      </c>
      <c r="Y31" t="inlineStr">
        <is>
          <t>Electrical Conduits, Pipes &amp; Fittings, Plastic Manufacturing, Cable Industry</t>
        </is>
      </c>
      <c r="Z31" t="inlineStr">
        <is>
          <t>Plast Service Group (PSG), Al Tayseer Group, Alamin Company, Energya Elsewedy Helal Company, Misr El Hagaz group</t>
        </is>
      </c>
      <c r="AA31" t="n">
        <v/>
      </c>
      <c r="AB31" t="n">
        <v/>
      </c>
      <c r="AC31" t="inlineStr">
        <is>
          <t>Ibrahim Hamdy Badr.pdf</t>
        </is>
      </c>
      <c r="AD31" t="inlineStr">
        <is>
          <t>2026-09-27 20:53</t>
        </is>
      </c>
    </row>
    <row r="32">
      <c r="A32" t="inlineStr">
        <is>
          <t>CAND-2026-031</t>
        </is>
      </c>
      <c r="B32" t="inlineStr">
        <is>
          <t>Mohamed Ahmed Mohamed Abd El - Fatah</t>
        </is>
      </c>
      <c r="C32" t="inlineStr">
        <is>
          <t>mohamedabdelfatah526834@gmail.com</t>
        </is>
      </c>
      <c r="D32" t="inlineStr">
        <is>
          <t>'+20 01276922154</t>
        </is>
      </c>
      <c r="E32" t="n">
        <v/>
      </c>
      <c r="F32" t="n">
        <v/>
      </c>
      <c r="G32" t="inlineStr">
        <is>
          <t>Alexandria</t>
        </is>
      </c>
      <c r="H32" t="inlineStr">
        <is>
          <t>Reserve Officer</t>
        </is>
      </c>
      <c r="I32" t="n">
        <v/>
      </c>
      <c r="J32" t="inlineStr">
        <is>
          <t>New</t>
        </is>
      </c>
      <c r="K32" t="n">
        <v/>
      </c>
      <c r="L32" t="n">
        <v>2</v>
      </c>
      <c r="M32" t="n">
        <v/>
      </c>
      <c r="O32" t="n">
        <v/>
      </c>
      <c r="P32" t="inlineStr">
        <is>
          <t>Completed</t>
        </is>
      </c>
      <c r="Q32" t="inlineStr">
        <is>
          <t>Arabic (Native), English (Very Good)</t>
        </is>
      </c>
      <c r="R32" t="inlineStr">
        <is>
          <t>Bachelor’s degree — production engineering — Faculty of engineering, Alexandria University</t>
        </is>
      </c>
      <c r="S32" t="inlineStr">
        <is>
          <t>Welding technology and metallurgy, NDT, Visual Inspection, Ultrasonic Testing, Radiographic testing, Magnetic Testing, Liquid Penetrant Testing, Mechanical part modeling, Engineering drawings, Lean manufacturing, Six Sigma, Production Planning and Control, Value Stream Mapping, KANBAN, KAIZEN</t>
        </is>
      </c>
      <c r="T32" t="inlineStr">
        <is>
          <t>SolidWorks, AutoCAD, Word, Excel, PowerPoint</t>
        </is>
      </c>
      <c r="U32" t="inlineStr">
        <is>
          <t>Production planning, Scheduling, Capacity planning</t>
        </is>
      </c>
      <c r="V32" t="inlineStr">
        <is>
          <t>Teamwork, Quick Adaptation, Quick Response</t>
        </is>
      </c>
      <c r="W32" t="inlineStr"/>
      <c r="X32" t="inlineStr">
        <is>
          <t>Reserve Officer</t>
        </is>
      </c>
      <c r="Y32" t="inlineStr">
        <is>
          <t>Production &amp; Industrial Engineering</t>
        </is>
      </c>
      <c r="Z32" t="inlineStr">
        <is>
          <t>Egyptian Armed Forces</t>
        </is>
      </c>
      <c r="AA32" t="inlineStr">
        <is>
          <t>A motivated individual who is looking for an opportunity with a strong passion for industry and production field, and I'm eager to learn from experienced professionals in the field.</t>
        </is>
      </c>
      <c r="AB32" t="n">
        <v/>
      </c>
      <c r="AC32" t="inlineStr">
        <is>
          <t>Mohamed Ahmmed Mohamed Abd El-Fatah.pdf</t>
        </is>
      </c>
      <c r="AD32" t="inlineStr">
        <is>
          <t>2026-09-27 20:53</t>
        </is>
      </c>
    </row>
    <row r="33">
      <c r="A33" t="inlineStr">
        <is>
          <t>CAND-2026-032</t>
        </is>
      </c>
      <c r="B33" t="inlineStr">
        <is>
          <t>Ahmed Adel Hassan</t>
        </is>
      </c>
      <c r="C33" t="inlineStr">
        <is>
          <t>engdola155@gmail.com</t>
        </is>
      </c>
      <c r="D33" t="inlineStr">
        <is>
          <t>'+201149253343</t>
        </is>
      </c>
      <c r="E33" t="n">
        <v/>
      </c>
      <c r="F33" t="inlineStr">
        <is>
          <t>https://www.linkedin.com/in/ahmed-adel-a5068a33b/</t>
        </is>
      </c>
      <c r="G33" t="inlineStr">
        <is>
          <t>Cairo, Egypt</t>
        </is>
      </c>
      <c r="H33" t="inlineStr">
        <is>
          <t>Production Engineer</t>
        </is>
      </c>
      <c r="I33" t="n">
        <v/>
      </c>
      <c r="J33" t="inlineStr">
        <is>
          <t>New</t>
        </is>
      </c>
      <c r="K33" t="n">
        <v/>
      </c>
      <c r="L33" t="n">
        <v>1.2</v>
      </c>
      <c r="M33" t="n">
        <v/>
      </c>
      <c r="O33" t="n">
        <v/>
      </c>
      <c r="P33" t="n">
        <v/>
      </c>
      <c r="Q33" t="inlineStr">
        <is>
          <t>English: B2 (Intermediate), Arabic: Native</t>
        </is>
      </c>
      <c r="R33" t="inlineStr">
        <is>
          <t>Bachelor of Science — Chemical Engineering — Higher Technological Institute, Egypt</t>
        </is>
      </c>
      <c r="S33" t="inlineStr">
        <is>
          <t>Process Optimization, Water Treatment, Industrial Manufacturing, Process Safety, Quality Control, Lab Analysis, pH Measurement, Titration, Sample Analysis, Food Safety Compliance, Chemical Process Simulation, Process Control, Heat Transfer</t>
        </is>
      </c>
      <c r="T33" t="inlineStr">
        <is>
          <t>Aspen HYSYS, Polymath, Microsoft Office (Word, Excel, PowerPoint), Excel</t>
        </is>
      </c>
      <c r="U33" t="inlineStr">
        <is>
          <t>Operational Process Improvement, Regulatory Compliance</t>
        </is>
      </c>
      <c r="V33" t="inlineStr">
        <is>
          <t>Teamwork, Communication</t>
        </is>
      </c>
      <c r="W33" t="inlineStr"/>
      <c r="X33" t="inlineStr">
        <is>
          <t>Production Engineer, Intern</t>
        </is>
      </c>
      <c r="Y33" t="inlineStr">
        <is>
          <t>Juice Manufacturing, Water Treatment, Food Industry, Ceramic and Porcelain Manufacturing</t>
        </is>
      </c>
      <c r="Z33" t="inlineStr">
        <is>
          <t>Juice Manufacturing Plant, Water Treatment Company, Food Industry Factory, Ceramic and Porcelain Factory</t>
        </is>
      </c>
      <c r="AA33" t="inlineStr">
        <is>
          <t>Chemical Engineer with hands-on experience in process optimization, water treatment, and industrial manufacturing. Skilled in advanced simulation software, including Aspen HYSYS and Polymath, with a focus on increasing efficiency, reducing waste, and enhancing process safety. Proven ability to improve operational processes, maintain regulatory compliance, and ensure high-quality production standards. Strong background in utilizing data analysis and process control systems to meet business goals and sustainability objectives.</t>
        </is>
      </c>
      <c r="AB33" t="n">
        <v/>
      </c>
      <c r="AC33" t="inlineStr">
        <is>
          <t>Ahmed adel (chemical engineer).pdf</t>
        </is>
      </c>
      <c r="AD33" t="inlineStr">
        <is>
          <t>2026-09-27 20:53</t>
        </is>
      </c>
    </row>
    <row r="34">
      <c r="A34" t="inlineStr">
        <is>
          <t>CAND-2026-033</t>
        </is>
      </c>
      <c r="B34" t="inlineStr">
        <is>
          <t>MINA HANNA SHAFIK</t>
        </is>
      </c>
      <c r="C34" t="inlineStr">
        <is>
          <t>minah2059@gmail.com</t>
        </is>
      </c>
      <c r="D34" t="inlineStr">
        <is>
          <t>(+2) 01279249149</t>
        </is>
      </c>
      <c r="E34" t="n">
        <v>31</v>
      </c>
      <c r="F34" t="n">
        <v/>
      </c>
      <c r="G34" t="inlineStr">
        <is>
          <t>New El Marg , Cairo ,Egypt</t>
        </is>
      </c>
      <c r="H34" t="inlineStr">
        <is>
          <t>Production engineer</t>
        </is>
      </c>
      <c r="I34" t="n">
        <v/>
      </c>
      <c r="J34" t="inlineStr">
        <is>
          <t>New</t>
        </is>
      </c>
      <c r="K34" t="n">
        <v/>
      </c>
      <c r="L34" t="n">
        <v>8.699999999999999</v>
      </c>
      <c r="M34" t="n">
        <v/>
      </c>
      <c r="O34" t="inlineStr">
        <is>
          <t>Married</t>
        </is>
      </c>
      <c r="P34" t="inlineStr">
        <is>
          <t>Exempted</t>
        </is>
      </c>
      <c r="Q34" t="inlineStr">
        <is>
          <t>Arabic (Mother tongue), English (Very good (Spoken &amp; Written))</t>
        </is>
      </c>
      <c r="R34" t="inlineStr">
        <is>
          <t>Bachelor's — Computer science in programming Engineering — Minya University</t>
        </is>
      </c>
      <c r="S34" t="inlineStr">
        <is>
          <t>thermoform process, plastic sheet extrusion production line, plastic thermoforming machines, quality control</t>
        </is>
      </c>
      <c r="T34" t="inlineStr"/>
      <c r="U34" t="inlineStr">
        <is>
          <t>Train, direct and supervise other construction inspectors, Supervise the production</t>
        </is>
      </c>
      <c r="V34" t="inlineStr"/>
      <c r="W34" t="inlineStr">
        <is>
          <t>programming Engineering</t>
        </is>
      </c>
      <c r="X34" t="inlineStr">
        <is>
          <t>Production engineer</t>
        </is>
      </c>
      <c r="Y34" t="inlineStr">
        <is>
          <t>Plastic Manufacturing</t>
        </is>
      </c>
      <c r="Z34" t="inlineStr">
        <is>
          <t>Rabboni plast</t>
        </is>
      </c>
      <c r="AA34" t="n">
        <v/>
      </c>
      <c r="AB34" t="n">
        <v/>
      </c>
      <c r="AC34" t="inlineStr">
        <is>
          <t>Mina Hanna.pdf</t>
        </is>
      </c>
      <c r="AD34" t="inlineStr">
        <is>
          <t>2026-09-27 20:53</t>
        </is>
      </c>
    </row>
    <row r="35">
      <c r="A35" t="inlineStr">
        <is>
          <t>CAND-2026-034</t>
        </is>
      </c>
      <c r="B35" t="inlineStr">
        <is>
          <t>Mahmoud Elkorashi</t>
        </is>
      </c>
      <c r="C35" t="inlineStr">
        <is>
          <t>mahmoudelkorashi269@gmail.com</t>
        </is>
      </c>
      <c r="D35" t="inlineStr">
        <is>
          <t>'+20 109 747 6182</t>
        </is>
      </c>
      <c r="E35" t="n">
        <v/>
      </c>
      <c r="F35" t="inlineStr">
        <is>
          <t>linkedin.com/in/mahmoud-elqurashi-74a180196</t>
        </is>
      </c>
      <c r="G35" t="inlineStr">
        <is>
          <t>10th of Ramadan City, Sharkia, Egypt</t>
        </is>
      </c>
      <c r="H35" t="inlineStr">
        <is>
          <t>Laboratory Chemist | QA/QC Specialist</t>
        </is>
      </c>
      <c r="I35" t="n">
        <v/>
      </c>
      <c r="J35" t="inlineStr">
        <is>
          <t>New</t>
        </is>
      </c>
      <c r="K35" t="n">
        <v/>
      </c>
      <c r="L35" t="n">
        <v>5</v>
      </c>
      <c r="M35" t="n">
        <v/>
      </c>
      <c r="O35" t="n">
        <v/>
      </c>
      <c r="P35" t="n">
        <v/>
      </c>
      <c r="Q35" t="inlineStr">
        <is>
          <t>Arabic: Native, English: Professional Working Proficiency</t>
        </is>
      </c>
      <c r="R35" t="inlineStr">
        <is>
          <t>B.Sc. — Chemistry and Microbiology — Al-Azhar University; Postgraduate Diploma — Biochemistry — Beni-Suef University</t>
        </is>
      </c>
      <c r="S35" t="inlineStr">
        <is>
          <t>Laboratory Testing, Hydrostatic Pressure Testing, Short-Term Pressure Testing, Oven / Heat Reversion Testing, Impact Resistance Testing, Tensile Testing, Peel Decohesion, Crush Decohesion, MFR/MFI, Density, DSC, OIT, Carbon Black Content, Carbon Black Dispersion, Dimensional Inspection, Visual Inspection, Quality Engineering, Product Qualification, Product Validation, Polymer Compounding, Polymer Formulation, Extrusion, Injection Molding, Color Matching, Chemical Analysis</t>
        </is>
      </c>
      <c r="T35" t="inlineStr"/>
      <c r="U35" t="inlineStr">
        <is>
          <t>Production Support, Nonconformity Investigation, Process Monitoring, Continuous Improvement, Production Monitoring, Production Coordination, Production Planning, Audit Preparation, Inspection Coordination</t>
        </is>
      </c>
      <c r="V35" t="inlineStr">
        <is>
          <t>Root Cause Analysis, Corrective and Preventive Actions, Troubleshooting, Process Optimization, Collaboration</t>
        </is>
      </c>
      <c r="W35" t="inlineStr"/>
      <c r="X35" t="inlineStr">
        <is>
          <t>Laboratory Chemist | QA/QC Specialist, Production Chemist, Laboratory Chemist, PART-TIME QUALITY ENGINEER, Chemist – Medical Analysis</t>
        </is>
      </c>
      <c r="Y35" t="inlineStr">
        <is>
          <t>Plastic Manufacturing, Piping Systems, Luggage Manufacturing, Medical Analysis</t>
        </is>
      </c>
      <c r="Z35" t="inlineStr">
        <is>
          <t>CL PIPE &amp; PLASTIC COMPANY, AMAN PVC, AL ROWAD FOR PLASTIC PIPES, AL SHAMS LABORATORIES</t>
        </is>
      </c>
      <c r="AA35" t="inlineStr">
        <is>
          <t>Laboratory Chemist, QA/QC Specialist, and Quality Engineer with over 4 years of experience in plastic manufacturing, laboratory testing, quality control, polymer compounding, formulation development, production support, product qualification, and product compliance.</t>
        </is>
      </c>
      <c r="AB35" t="n">
        <v/>
      </c>
      <c r="AC35" t="inlineStr">
        <is>
          <t>MAHMOUD_ELQURASHI_Resume QC-QA-Laboratory.pdf</t>
        </is>
      </c>
      <c r="AD35" t="inlineStr">
        <is>
          <t>2026-09-27 20:53</t>
        </is>
      </c>
    </row>
    <row r="36">
      <c r="A36" t="inlineStr">
        <is>
          <t>CAND-2026-035</t>
        </is>
      </c>
      <c r="B36" t="inlineStr">
        <is>
          <t>ALI AHMED</t>
        </is>
      </c>
      <c r="C36" t="inlineStr">
        <is>
          <t>ali255422@gmail.com</t>
        </is>
      </c>
      <c r="D36" t="inlineStr">
        <is>
          <t>'+20 120 374 0240</t>
        </is>
      </c>
      <c r="E36" t="n">
        <v/>
      </c>
      <c r="F36" t="n">
        <v/>
      </c>
      <c r="G36" t="inlineStr">
        <is>
          <t>Cairo, Egypt</t>
        </is>
      </c>
      <c r="H36" t="inlineStr">
        <is>
          <t>Production Manager &amp; PVC Compound Consultant Chemist</t>
        </is>
      </c>
      <c r="I36" t="n">
        <v/>
      </c>
      <c r="J36" t="inlineStr">
        <is>
          <t>New</t>
        </is>
      </c>
      <c r="K36" t="n">
        <v/>
      </c>
      <c r="L36" t="n">
        <v>4.1</v>
      </c>
      <c r="M36" t="n">
        <v/>
      </c>
      <c r="O36" t="n">
        <v/>
      </c>
      <c r="P36" t="inlineStr">
        <is>
          <t>Temporary Exemption</t>
        </is>
      </c>
      <c r="Q36" t="inlineStr">
        <is>
          <t>English Language – Very Good</t>
        </is>
      </c>
      <c r="R36" t="inlineStr">
        <is>
          <t>Bachelor’s Degree — Pure &amp; Applied Chemistry — Faculty of Science – Helwan University</t>
        </is>
      </c>
      <c r="S36" t="inlineStr">
        <is>
          <t>PVC Compound Manufacturing, Production Management, Process Optimization, Industrial Chemistry, Quality Control &amp; Assurance, Raw Material Testing, Analytical Chemistry, Cost Reduction, Waste Reduction, Manufacturing Operations, Color Development &amp; Testing, Roll Mill Operations, Process Troubleshooting, Continuous Improvement, Mixing, Extrusion, Printing Processes, Quality Standards, Chemical and Analytical Laboratory Tests, Inventory Control, Food Safety, Natural Products Drug Development, Preclinical Trial</t>
        </is>
      </c>
      <c r="T36" t="inlineStr">
        <is>
          <t>SAP PP, Microsoft Office, ICDL</t>
        </is>
      </c>
      <c r="U36" t="inlineStr">
        <is>
          <t>Production Planning, Team Leadership, Supervising Production Operations, Coordinating with Production Teams, Formulation Development, Consultation Services, Customer Relationship Management, Sales and Marketing Activities, Pharmaceutical Product Management</t>
        </is>
      </c>
      <c r="V36" t="inlineStr">
        <is>
          <t>Problem Solving, Leadership &amp; Team Management, Communication Skills, Production Monitoring, Manufacturing Process Improvement, Time Management, Quality Assurance</t>
        </is>
      </c>
      <c r="W36" t="inlineStr"/>
      <c r="X36" t="inlineStr">
        <is>
          <t>Production Manager &amp; PVC Compound Consultant Chemist, Production Chemist, PVC Compound Consultant Chemist, Analytical Chemist, Marketing Representative, Pharmaceutical Chemist</t>
        </is>
      </c>
      <c r="Y36" t="inlineStr">
        <is>
          <t>Plastics and Chemical Manufacturing Industry, Pharmaceutical Industry, Paints Industry, Packaging Industry, Paper Industry</t>
        </is>
      </c>
      <c r="Z36" t="inlineStr">
        <is>
          <t>The Egyptian Company for Manufacturing Plastics &amp; Its Supplies (EPM), El Watania Plast Company, Medical Analysis Laboratory, Orman Company, Pharmacy</t>
        </is>
      </c>
      <c r="AA36" t="inlineStr">
        <is>
          <t>Results-driven Production and Industrial Chemist with strong experience in PVC compound manufacturing, production management, analytical chemistry, and process improvement within the plastics and chemical manufacturing industry. Experienced in supervising production operations, developing PVC formulations, reducing waste, improving product quality, and optimizing manufacturing efficiency. Skilled in production planning, troubleshooting, quality control, raw material testing, and leading production teams. Possesses strong knowledge of Lean Manufacturing, Six Sigma principles, SAP PP, and industrial process optimization, with a proven ability to improve operational stability and manufacturing performance.</t>
        </is>
      </c>
      <c r="AB36" t="n">
        <v/>
      </c>
      <c r="AC36" t="inlineStr">
        <is>
          <t>ali ahmed.pdf</t>
        </is>
      </c>
      <c r="AD36" t="inlineStr">
        <is>
          <t>2026-09-28 11:23</t>
        </is>
      </c>
    </row>
    <row r="37">
      <c r="A37" t="inlineStr">
        <is>
          <t>CAND-2026-036</t>
        </is>
      </c>
      <c r="B37" t="inlineStr">
        <is>
          <t>Ahmed abd el-rady mousa Ali</t>
        </is>
      </c>
      <c r="C37" t="inlineStr">
        <is>
          <t>chemistahmedrady1291987@gmail.com</t>
        </is>
      </c>
      <c r="D37" t="inlineStr">
        <is>
          <t>0552272171</t>
        </is>
      </c>
      <c r="E37" t="n">
        <v>36</v>
      </c>
      <c r="F37" t="n">
        <v/>
      </c>
      <c r="G37" t="inlineStr">
        <is>
          <t>El-Zagazig, Sharqiah, Egypt</t>
        </is>
      </c>
      <c r="H37" t="inlineStr">
        <is>
          <t>Head of production management</t>
        </is>
      </c>
      <c r="I37" t="n">
        <v/>
      </c>
      <c r="J37" t="inlineStr">
        <is>
          <t>New</t>
        </is>
      </c>
      <c r="K37" t="n">
        <v/>
      </c>
      <c r="L37" t="n">
        <v>13.4</v>
      </c>
      <c r="M37" t="n">
        <v/>
      </c>
      <c r="O37" t="inlineStr">
        <is>
          <t>Engaged</t>
        </is>
      </c>
      <c r="P37" t="inlineStr">
        <is>
          <t>Delayed</t>
        </is>
      </c>
      <c r="Q37" t="inlineStr">
        <is>
          <t>English (Very good)</t>
        </is>
      </c>
      <c r="R37" t="inlineStr">
        <is>
          <t>Bachelor of Science — Chemistry &amp; Botany — zagazig University, Egypt</t>
        </is>
      </c>
      <c r="S37" t="inlineStr">
        <is>
          <t>Production Management, Maintenance Management, Planning, Making PVC and PPR batches, Mechanical maintenance, Chemical structure of acrylic and artificial marble, Shift supervision, Glass chemistry, Raw materials and Batch, Furnace and Refractories, Glass melting, Quality assurance and control in chemical analysis, QC Department</t>
        </is>
      </c>
      <c r="T37" t="inlineStr">
        <is>
          <t>MS Word, PowerPoint, Excel, Web surfing, ICDL</t>
        </is>
      </c>
      <c r="U37" t="inlineStr">
        <is>
          <t>Prepare production plan, Monitoring productivity, Monitoring mechanical maintenance work, Supervision of production line</t>
        </is>
      </c>
      <c r="V37" t="inlineStr">
        <is>
          <t>Communication</t>
        </is>
      </c>
      <c r="W37" t="inlineStr"/>
      <c r="X37" t="inlineStr">
        <is>
          <t>Head of production management, Chemist, Trainee</t>
        </is>
      </c>
      <c r="Y37" t="inlineStr">
        <is>
          <t>Plastic Manufacturing, Acrylic Industry, Glass Industry, Pharmaceuticals, Medical Lab</t>
        </is>
      </c>
      <c r="Z37" t="inlineStr">
        <is>
          <t>Trust columns group, CMB Group, National company for glass and crystal, Gedco Pharmaceuticals, Analytical medical lab (ALTRA Lab)</t>
        </is>
      </c>
      <c r="AA37" t="inlineStr">
        <is>
          <t>An internship in the field of BSc of science department of chemistry &amp; Botany, where my academic background and communication skills can be applied and further enhanced.</t>
        </is>
      </c>
      <c r="AB37" t="n">
        <v/>
      </c>
      <c r="AC37" t="inlineStr">
        <is>
          <t>my nCV 2026 .pdf</t>
        </is>
      </c>
      <c r="AD37" t="inlineStr">
        <is>
          <t>2026-09-30 17:20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pane ySplit="4" topLeftCell="A5" activePane="bottomLeft" state="frozen"/>
      <selection pane="bottomLeft" activeCell="A1" sqref="A1"/>
    </sheetView>
  </sheetViews>
  <sheetFormatPr baseColWidth="8" defaultRowHeight="15"/>
  <cols>
    <col width="20" customWidth="1" min="1" max="1"/>
    <col width="34" customWidth="1" min="2" max="2"/>
    <col width="42" customWidth="1" min="3" max="3"/>
  </cols>
  <sheetData>
    <row r="1">
      <c r="A1" s="2" t="inlineStr">
        <is>
          <t>فهرس المرشحين</t>
        </is>
      </c>
    </row>
    <row r="2">
      <c r="A2" s="3" t="inlineStr">
        <is>
          <t>اضغط على اسم المرشح للانتقال مباشرة إلى صفحة بياناته المنظمة</t>
        </is>
      </c>
    </row>
    <row r="3">
      <c r="A3" s="4" t="inlineStr">
        <is>
          <t>إجمالي المرشحين: 36</t>
        </is>
      </c>
    </row>
    <row r="4">
      <c r="A4" s="5" t="inlineStr">
        <is>
          <t>الكود</t>
        </is>
      </c>
      <c r="B4" s="5" t="inlineStr">
        <is>
          <t>اسم المرشح</t>
        </is>
      </c>
      <c r="C4" s="5" t="inlineStr">
        <is>
          <t>الوظيفة الحالية</t>
        </is>
      </c>
    </row>
    <row r="5">
      <c r="A5" s="6" t="inlineStr">
        <is>
          <t>CAND-2026-001</t>
        </is>
      </c>
      <c r="B5" s="7">
        <f>HYPERLINK("#'CAND-2026-001'!A1","AMR IBRAHIM")</f>
        <v/>
      </c>
      <c r="C5" s="8" t="inlineStr">
        <is>
          <t>Factory Manager</t>
        </is>
      </c>
    </row>
    <row r="6">
      <c r="A6" s="6" t="inlineStr">
        <is>
          <t>CAND-2026-002</t>
        </is>
      </c>
      <c r="B6" s="7">
        <f>HYPERLINK("#'CAND-2026-002'!A1","أحمد محمود النجار")</f>
        <v/>
      </c>
      <c r="C6" s="8" t="inlineStr">
        <is>
          <t>مساعد مدير اإلنتاج</t>
        </is>
      </c>
    </row>
    <row r="7">
      <c r="A7" s="6" t="inlineStr">
        <is>
          <t>CAND-2026-003</t>
        </is>
      </c>
      <c r="B7" s="7">
        <f>HYPERLINK("#'CAND-2026-003'!A1","موسى صبرى عدلى سالمة")</f>
        <v/>
      </c>
      <c r="C7" s="8" t="inlineStr">
        <is>
          <t>مدير تخطيط ومتابعة الإنتاج</t>
        </is>
      </c>
    </row>
    <row r="8">
      <c r="A8" s="6" t="inlineStr">
        <is>
          <t>CAND-2026-004</t>
        </is>
      </c>
      <c r="B8" s="7">
        <f>HYPERLINK("#'CAND-2026-004'!A1","Amr Shaaban Amin")</f>
        <v/>
      </c>
      <c r="C8" s="8" t="inlineStr">
        <is>
          <t>Plant Manager</t>
        </is>
      </c>
    </row>
    <row r="9">
      <c r="A9" s="6" t="inlineStr">
        <is>
          <t>CAND-2026-005</t>
        </is>
      </c>
      <c r="B9" s="7">
        <f>HYPERLINK("#'CAND-2026-005'!A1","محمد فكرى أحمد")</f>
        <v/>
      </c>
      <c r="C9" s="8" t="inlineStr">
        <is>
          <t>مدير مصنع pvc بروفايل</t>
        </is>
      </c>
    </row>
    <row r="10">
      <c r="A10" s="6" t="inlineStr">
        <is>
          <t>CAND-2026-006</t>
        </is>
      </c>
      <c r="B10" s="7">
        <f>HYPERLINK("#'CAND-2026-006'!A1","MARWA SALAH")</f>
        <v/>
      </c>
      <c r="C10" s="8" t="inlineStr">
        <is>
          <t>Electronics &amp; Telecommunications Technology|Ai Engineer</t>
        </is>
      </c>
    </row>
    <row r="11">
      <c r="A11" s="6" t="inlineStr">
        <is>
          <t>CAND-2026-007</t>
        </is>
      </c>
      <c r="B11" s="7">
        <f>HYPERLINK("#'CAND-2026-007'!A1","Salah Ahmed Abd El-Aziz")</f>
        <v/>
      </c>
      <c r="C11" s="8" t="inlineStr">
        <is>
          <t>production manager</t>
        </is>
      </c>
    </row>
    <row r="12">
      <c r="A12" s="6" t="inlineStr">
        <is>
          <t>CAND-2026-008</t>
        </is>
      </c>
      <c r="B12" s="7">
        <f>HYPERLINK("#'CAND-2026-008'!A1","مصطفى حسن السعيد عليوه")</f>
        <v/>
      </c>
      <c r="C12" s="8" t="inlineStr">
        <is>
          <t>محاسب</t>
        </is>
      </c>
    </row>
    <row r="13">
      <c r="A13" s="6" t="inlineStr">
        <is>
          <t>CAND-2026-009</t>
        </is>
      </c>
      <c r="B13" s="7">
        <f>HYPERLINK("#'CAND-2026-009'!A1","IBRAHIM ABDELKAREEM")</f>
        <v/>
      </c>
      <c r="C13" s="8" t="inlineStr">
        <is>
          <t>Sales and Marketing Manager</t>
        </is>
      </c>
    </row>
    <row r="14">
      <c r="A14" s="6" t="inlineStr">
        <is>
          <t>CAND-2026-010</t>
        </is>
      </c>
      <c r="B14" s="7">
        <f>HYPERLINK("#'CAND-2026-010'!A1","MOHAMED MAHFOUZ MOHAMED")</f>
        <v/>
      </c>
      <c r="C14" s="8" t="inlineStr">
        <is>
          <t>PLANT MANAGER</t>
        </is>
      </c>
    </row>
    <row r="15">
      <c r="A15" s="6" t="inlineStr">
        <is>
          <t>CAND-2026-011</t>
        </is>
      </c>
      <c r="B15" s="7">
        <f>HYPERLINK("#'CAND-2026-011'!A1","ELSAYED ABDEL MONEM ELSAYED")</f>
        <v/>
      </c>
      <c r="C15" s="8" t="inlineStr">
        <is>
          <t>Factory Manager</t>
        </is>
      </c>
    </row>
    <row r="16">
      <c r="A16" s="6" t="inlineStr">
        <is>
          <t>CAND-2026-012</t>
        </is>
      </c>
      <c r="B16" s="7">
        <f>HYPERLINK("#'CAND-2026-012'!A1","Yousri Mohamed Saber Mahmoud")</f>
        <v/>
      </c>
      <c r="C16" s="8" t="inlineStr">
        <is>
          <t>Quality Inspector</t>
        </is>
      </c>
    </row>
    <row r="17">
      <c r="A17" s="6" t="inlineStr">
        <is>
          <t>CAND-2026-013</t>
        </is>
      </c>
      <c r="B17" s="7">
        <f>HYPERLINK("#'CAND-2026-013'!A1","Ahmed Saeed Abd Elhamed Badawy")</f>
        <v/>
      </c>
      <c r="C17" s="8" t="inlineStr">
        <is>
          <t>Maintenance Manager</t>
        </is>
      </c>
    </row>
    <row r="18">
      <c r="A18" s="6" t="inlineStr">
        <is>
          <t>CAND-2026-014</t>
        </is>
      </c>
      <c r="B18" s="7">
        <f>HYPERLINK("#'CAND-2026-014'!A1","Sohail Mohamed Bakr")</f>
        <v/>
      </c>
      <c r="C18" s="8" t="inlineStr">
        <is>
          <t>Production Section Head</t>
        </is>
      </c>
    </row>
    <row r="19">
      <c r="A19" s="6" t="inlineStr">
        <is>
          <t>CAND-2026-015</t>
        </is>
      </c>
      <c r="B19" s="7">
        <f>HYPERLINK("#'CAND-2026-015'!A1","صلاح عبد العزيز")</f>
        <v/>
      </c>
      <c r="C19" s="8" t="inlineStr">
        <is>
          <t>مدير إنتاج مصانع بلاستيك</t>
        </is>
      </c>
    </row>
    <row r="20">
      <c r="A20" s="6" t="inlineStr">
        <is>
          <t>CAND-2026-016</t>
        </is>
      </c>
      <c r="B20" s="7">
        <f>HYPERLINK("#'CAND-2026-016'!A1","MOHAMED METWALLY GOUDA ALI")</f>
        <v/>
      </c>
      <c r="C20" s="8" t="inlineStr">
        <is>
          <t>Production Manager</t>
        </is>
      </c>
    </row>
    <row r="21">
      <c r="A21" s="6" t="inlineStr">
        <is>
          <t>CAND-2026-017</t>
        </is>
      </c>
      <c r="B21" s="7">
        <f>HYPERLINK("#'CAND-2026-017'!A1","BESHOY ABDELMASEH KAMEL")</f>
        <v/>
      </c>
      <c r="C21" s="8" t="inlineStr">
        <is>
          <t>Section Head</t>
        </is>
      </c>
    </row>
    <row r="22">
      <c r="A22" s="6" t="inlineStr">
        <is>
          <t>CAND-2026-018</t>
        </is>
      </c>
      <c r="B22" s="7">
        <f>HYPERLINK("#'CAND-2026-018'!A1","AHMED ABDULLAH ANTER")</f>
        <v/>
      </c>
      <c r="C22" s="8" t="inlineStr">
        <is>
          <t>Operations Manager</t>
        </is>
      </c>
    </row>
    <row r="23">
      <c r="A23" s="6" t="inlineStr">
        <is>
          <t>CAND-2026-019</t>
        </is>
      </c>
      <c r="B23" s="7">
        <f>HYPERLINK("#'CAND-2026-019'!A1","AHMED HASSAN MOHAMED")</f>
        <v/>
      </c>
      <c r="C23" s="8" t="inlineStr">
        <is>
          <t>Storekeeper</t>
        </is>
      </c>
    </row>
    <row r="24">
      <c r="A24" s="6" t="inlineStr">
        <is>
          <t>CAND-2026-020</t>
        </is>
      </c>
      <c r="B24" s="7">
        <f>HYPERLINK("#'CAND-2026-020'!A1","AHMED MOHAMMED AHMED MAHMOUD")</f>
        <v/>
      </c>
      <c r="C24" s="8" t="inlineStr">
        <is>
          <t>HSE Guide</t>
        </is>
      </c>
    </row>
    <row r="25">
      <c r="A25" s="6" t="inlineStr">
        <is>
          <t>CAND-2026-021</t>
        </is>
      </c>
      <c r="B25" s="7">
        <f>HYPERLINK("#'CAND-2026-021'!A1","Ahmed Mohammed Fawzi Nasef")</f>
        <v/>
      </c>
      <c r="C25" s="8" t="inlineStr">
        <is>
          <t>Fresh Graduate in Production and Mechanical Design Engineering</t>
        </is>
      </c>
    </row>
    <row r="26">
      <c r="A26" s="6" t="inlineStr">
        <is>
          <t>CAND-2026-022</t>
        </is>
      </c>
      <c r="B26" s="7">
        <f>HYPERLINK("#'CAND-2026-022'!A1","MOHAMED SAEED")</f>
        <v/>
      </c>
      <c r="C26" s="8" t="inlineStr">
        <is>
          <t>QUALITY ASSURANCE / QC ENGINEER</t>
        </is>
      </c>
    </row>
    <row r="27">
      <c r="A27" s="6" t="inlineStr">
        <is>
          <t>CAND-2026-023</t>
        </is>
      </c>
      <c r="B27" s="7">
        <f>HYPERLINK("#'CAND-2026-023'!A1","Ahmed Mohamed Lashen")</f>
        <v/>
      </c>
      <c r="C27" s="8" t="inlineStr">
        <is>
          <t>Production Engineer</t>
        </is>
      </c>
    </row>
    <row r="28">
      <c r="A28" s="6" t="inlineStr">
        <is>
          <t>CAND-2026-024</t>
        </is>
      </c>
      <c r="B28" s="7">
        <f>HYPERLINK("#'CAND-2026-024'!A1","Hamada shuman")</f>
        <v/>
      </c>
      <c r="C28" s="8" t="inlineStr">
        <is>
          <t>Senior Data Engineer</t>
        </is>
      </c>
    </row>
    <row r="29">
      <c r="A29" s="6" t="inlineStr">
        <is>
          <t>CAND-2026-025</t>
        </is>
      </c>
      <c r="B29" s="7">
        <f>HYPERLINK("#'CAND-2026-025'!A1","Ahmed Hamdy Mohamed Ahmed")</f>
        <v/>
      </c>
      <c r="C29" s="8" t="inlineStr">
        <is>
          <t>Production Engineer – Plastic Injection Molding</t>
        </is>
      </c>
    </row>
    <row r="30">
      <c r="A30" s="6" t="inlineStr">
        <is>
          <t>CAND-2026-026</t>
        </is>
      </c>
      <c r="B30" s="7">
        <f>HYPERLINK("#'CAND-2026-026'!A1","Atef Emad Saber Ahmed")</f>
        <v/>
      </c>
      <c r="C30" s="8" t="inlineStr">
        <is>
          <t>Production &amp; Quality Control Engineer</t>
        </is>
      </c>
    </row>
    <row r="31">
      <c r="A31" s="6" t="inlineStr">
        <is>
          <t>CAND-2026-027</t>
        </is>
      </c>
      <c r="B31" s="7">
        <f>HYPERLINK("#'CAND-2026-027'!A1","YOUSEF ABDEL-NASSER ATTIA")</f>
        <v/>
      </c>
      <c r="C31" s="8" t="inlineStr">
        <is>
          <t>Production &amp; Quality Engineer</t>
        </is>
      </c>
    </row>
    <row r="32">
      <c r="A32" s="6" t="inlineStr">
        <is>
          <t>CAND-2026-028</t>
        </is>
      </c>
      <c r="B32" s="7">
        <f>HYPERLINK("#'CAND-2026-028'!A1","HAMADA ABDELAZIZ MOHAMED ELASSAR")</f>
        <v/>
      </c>
      <c r="C32" s="8" t="inlineStr">
        <is>
          <t>Manufacturing Manager</t>
        </is>
      </c>
    </row>
    <row r="33">
      <c r="A33" s="6" t="inlineStr">
        <is>
          <t>CAND-2026-029</t>
        </is>
      </c>
      <c r="B33" s="7">
        <f>HYPERLINK("#'CAND-2026-029'!A1","Mahmoud Qabeel")</f>
        <v/>
      </c>
      <c r="C33" s="8" t="inlineStr">
        <is>
          <t>HSE Specialist</t>
        </is>
      </c>
    </row>
    <row r="34">
      <c r="A34" s="6" t="inlineStr">
        <is>
          <t>CAND-2026-030</t>
        </is>
      </c>
      <c r="B34" s="7">
        <f>HYPERLINK("#'CAND-2026-030'!A1","IBRAHIM HAMDY BADR")</f>
        <v/>
      </c>
      <c r="C34" s="8" t="inlineStr">
        <is>
          <t>Production Manager</t>
        </is>
      </c>
    </row>
    <row r="35">
      <c r="A35" s="6" t="inlineStr">
        <is>
          <t>CAND-2026-031</t>
        </is>
      </c>
      <c r="B35" s="7">
        <f>HYPERLINK("#'CAND-2026-031'!A1","Mohamed Ahmed Mohamed Abd El - Fatah")</f>
        <v/>
      </c>
      <c r="C35" s="8" t="inlineStr">
        <is>
          <t>Reserve Officer</t>
        </is>
      </c>
    </row>
    <row r="36">
      <c r="A36" s="6" t="inlineStr">
        <is>
          <t>CAND-2026-032</t>
        </is>
      </c>
      <c r="B36" s="7">
        <f>HYPERLINK("#'CAND-2026-032'!A1","Ahmed Adel Hassan")</f>
        <v/>
      </c>
      <c r="C36" s="8" t="inlineStr">
        <is>
          <t>Production Engineer</t>
        </is>
      </c>
    </row>
    <row r="37">
      <c r="A37" s="6" t="inlineStr">
        <is>
          <t>CAND-2026-033</t>
        </is>
      </c>
      <c r="B37" s="7">
        <f>HYPERLINK("#'CAND-2026-033'!A1","MINA HANNA SHAFIK")</f>
        <v/>
      </c>
      <c r="C37" s="8" t="inlineStr">
        <is>
          <t>Production engineer</t>
        </is>
      </c>
    </row>
    <row r="38">
      <c r="A38" s="6" t="inlineStr">
        <is>
          <t>CAND-2026-034</t>
        </is>
      </c>
      <c r="B38" s="7">
        <f>HYPERLINK("#'CAND-2026-034'!A1","Mahmoud Elkorashi")</f>
        <v/>
      </c>
      <c r="C38" s="8" t="inlineStr">
        <is>
          <t>Laboratory Chemist | QA/QC Specialist</t>
        </is>
      </c>
    </row>
    <row r="39">
      <c r="A39" s="6" t="inlineStr">
        <is>
          <t>CAND-2026-035</t>
        </is>
      </c>
      <c r="B39" s="7">
        <f>HYPERLINK("#'CAND-2026-035'!A1","ALI AHMED")</f>
        <v/>
      </c>
      <c r="C39" s="8" t="inlineStr">
        <is>
          <t>Production Manager &amp; PVC Compound Consultant Chemist</t>
        </is>
      </c>
    </row>
    <row r="40">
      <c r="A40" s="6" t="inlineStr">
        <is>
          <t>CAND-2026-036</t>
        </is>
      </c>
      <c r="B40" s="7">
        <f>HYPERLINK("#'CAND-2026-036'!A1","Ahmed abd el-rady mousa Ali")</f>
        <v/>
      </c>
      <c r="C40" s="8" t="inlineStr">
        <is>
          <t>Head of production management</t>
        </is>
      </c>
    </row>
  </sheetData>
  <mergeCells count="3">
    <mergeCell ref="A1:C1"/>
    <mergeCell ref="A3:C3"/>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AMR IBRAHIM</t>
        </is>
      </c>
    </row>
    <row r="2">
      <c r="A2" s="10">
        <f>HYPERLINK("#'الفهرس'!A1","← العودة إلى الفهرس")</f>
        <v/>
      </c>
    </row>
    <row r="4">
      <c r="A4" s="11" t="inlineStr">
        <is>
          <t>البيانات الأساسية</t>
        </is>
      </c>
    </row>
    <row r="5">
      <c r="A5" s="12" t="inlineStr">
        <is>
          <t>الكود</t>
        </is>
      </c>
      <c r="B5" s="13" t="inlineStr">
        <is>
          <t>CAND-2026-001</t>
        </is>
      </c>
    </row>
    <row r="6">
      <c r="A6" s="12" t="inlineStr">
        <is>
          <t>الاسم الكامل</t>
        </is>
      </c>
      <c r="B6" s="13" t="inlineStr">
        <is>
          <t>AMR IBRAHIM</t>
        </is>
      </c>
    </row>
    <row r="7">
      <c r="A7" s="12" t="inlineStr">
        <is>
          <t>البريد الإلكتروني</t>
        </is>
      </c>
      <c r="B7" s="13" t="inlineStr">
        <is>
          <t>3mribrhm@gmail.com</t>
        </is>
      </c>
    </row>
    <row r="8">
      <c r="A8" s="12" t="inlineStr">
        <is>
          <t>الهاتف</t>
        </is>
      </c>
      <c r="B8" s="13" t="inlineStr">
        <is>
          <t>'+20 100 416 0526</t>
        </is>
      </c>
    </row>
    <row r="9">
      <c r="A9" s="12" t="inlineStr">
        <is>
          <t>العمر</t>
        </is>
      </c>
      <c r="B9" s="13" t="inlineStr">
        <is>
          <t>—</t>
        </is>
      </c>
    </row>
    <row r="10">
      <c r="A10" s="12" t="inlineStr">
        <is>
          <t>لينكدإن</t>
        </is>
      </c>
      <c r="B10" s="13" t="inlineStr">
        <is>
          <t>—</t>
        </is>
      </c>
    </row>
    <row r="11">
      <c r="A11" s="12" t="inlineStr">
        <is>
          <t>محل الإقامة</t>
        </is>
      </c>
      <c r="B11" s="13" t="inlineStr">
        <is>
          <t>Zagazig City, Sharqia, Egypt</t>
        </is>
      </c>
    </row>
    <row r="12">
      <c r="A12" s="12" t="inlineStr">
        <is>
          <t>الوظيفة الحالية</t>
        </is>
      </c>
      <c r="B12" s="13" t="inlineStr">
        <is>
          <t>Factory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14.2</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t>
        </is>
      </c>
    </row>
    <row r="23">
      <c r="A23" s="12" t="inlineStr">
        <is>
          <t>المؤهل العلمي</t>
        </is>
      </c>
      <c r="B23" s="13" t="inlineStr">
        <is>
          <t>Bachelor’s degree — metallurgical engineering — Al-Azhar University, Nasr City, Cairo, Egypt</t>
        </is>
      </c>
    </row>
    <row r="24">
      <c r="A24" s="12" t="inlineStr">
        <is>
          <t>المهارات الفنية</t>
        </is>
      </c>
      <c r="B24" s="13" t="inlineStr">
        <is>
          <t>Plastic Extrusion (PPR, PPH, PVC), Injection Molding &amp; Socket Fusion Welding, Rotogravure Printing (8-Color Systems), PVC Granulation and Lamination, Cold Box Core and Jolt-Squeeze Molding, Heat Treatment Furnace Operation, Spectrometry and Metallurgical Testing, ISO 9001 Implementation &amp; Auditing, Pattern Making (Wood, Metal, Resin), Liquid Penetrant Testing &amp; Welding Inspection</t>
        </is>
      </c>
    </row>
    <row r="25">
      <c r="A25" s="12" t="inlineStr">
        <is>
          <t>مهارات الحاسب</t>
        </is>
      </c>
      <c r="B25" s="13" t="inlineStr">
        <is>
          <t>ERP</t>
        </is>
      </c>
    </row>
    <row r="26">
      <c r="A26" s="12" t="inlineStr">
        <is>
          <t>المهارات الإدارية</t>
        </is>
      </c>
      <c r="B26" s="13" t="inlineStr">
        <is>
          <t>Production Planning, Workforce Coordination, Staff Recruitment, Inventory Control, R&amp;D</t>
        </is>
      </c>
    </row>
    <row r="27">
      <c r="A27" s="12" t="inlineStr">
        <is>
          <t>المهارات الشخصية</t>
        </is>
      </c>
      <c r="B27" s="13" t="inlineStr">
        <is>
          <t>Leadership &amp; Team Management, Strategic Planning, Problem Solving &amp; Decision Making, Effective Communication, Time Management, Staff Training &amp; Development, Conflict Resolution, Adaptability to Change, Negotiation Skills, Cross-Departmental Coordination</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Factory Manager, Production Manager, Operation Manager, Production Engineer</t>
        </is>
      </c>
    </row>
    <row r="31">
      <c r="A31" s="12" t="inlineStr">
        <is>
          <t>القطاعات / الصناعات</t>
        </is>
      </c>
      <c r="B31" s="13" t="inlineStr">
        <is>
          <t>plastics, metals, plastic injection molding, foundry</t>
        </is>
      </c>
    </row>
    <row r="32">
      <c r="A32" s="12" t="inlineStr">
        <is>
          <t>الشركات السابقة</t>
        </is>
      </c>
      <c r="B32" s="13" t="inlineStr">
        <is>
          <t>C TORCH EGYPT, Sobihy Makkah for Plastic, National Foundry for Pumps, Ingaz Factory for Casting, Military Factory 100</t>
        </is>
      </c>
    </row>
    <row r="33">
      <c r="A33" s="12" t="inlineStr">
        <is>
          <t>الملخص المهني</t>
        </is>
      </c>
      <c r="B33" s="13" t="inlineStr">
        <is>
          <t>Results-oriented manufacturing executive and Factory Manager with over 10 years of hands-on experience in setting up and managing industrial operations across plastics, metals. Metallurgical Engineer with a proven track record in optimizing production lines, improving product quality, and reducing operational waste. Adept at leading cross-functional teams, implementing ISO 9001 quality systems and ERP solutions, and introducing new technologies to boost productivity and cost-efficiency. Recognized for strategic planning, technical leadership, and a commitment to continuous improvement, safety, and sustainable growth.</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Amr_Ibrahim_factory manager_CV.pdf</t>
        </is>
      </c>
    </row>
    <row r="37">
      <c r="A37" s="12" t="inlineStr">
        <is>
          <t>تاريخ الإضافة</t>
        </is>
      </c>
      <c r="B37" s="13" t="inlineStr">
        <is>
          <t>2026-09-24 06:59</t>
        </is>
      </c>
    </row>
  </sheetData>
  <mergeCells count="6">
    <mergeCell ref="A4:B4"/>
    <mergeCell ref="A21:B21"/>
    <mergeCell ref="A2:B2"/>
    <mergeCell ref="A29:B29"/>
    <mergeCell ref="A1:B1"/>
    <mergeCell ref="A34:B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أحمد محمود النجار</t>
        </is>
      </c>
    </row>
    <row r="2">
      <c r="A2" s="10">
        <f>HYPERLINK("#'الفهرس'!A1","← العودة إلى الفهرس")</f>
        <v/>
      </c>
    </row>
    <row r="4">
      <c r="A4" s="11" t="inlineStr">
        <is>
          <t>البيانات الأساسية</t>
        </is>
      </c>
    </row>
    <row r="5">
      <c r="A5" s="12" t="inlineStr">
        <is>
          <t>الكود</t>
        </is>
      </c>
      <c r="B5" s="13" t="inlineStr">
        <is>
          <t>CAND-2026-002</t>
        </is>
      </c>
    </row>
    <row r="6">
      <c r="A6" s="12" t="inlineStr">
        <is>
          <t>الاسم الكامل</t>
        </is>
      </c>
      <c r="B6" s="13" t="inlineStr">
        <is>
          <t>أحمد محمود النجار</t>
        </is>
      </c>
    </row>
    <row r="7">
      <c r="A7" s="12" t="inlineStr">
        <is>
          <t>البريد الإلكتروني</t>
        </is>
      </c>
      <c r="B7" s="13" t="inlineStr">
        <is>
          <t>ahmcd2312@gmail.com</t>
        </is>
      </c>
    </row>
    <row r="8">
      <c r="A8" s="12" t="inlineStr">
        <is>
          <t>الهاتف</t>
        </is>
      </c>
      <c r="B8" s="13" t="inlineStr">
        <is>
          <t>01021446922</t>
        </is>
      </c>
    </row>
    <row r="9">
      <c r="A9" s="12" t="inlineStr">
        <is>
          <t>العمر</t>
        </is>
      </c>
      <c r="B9" s="13" t="n">
        <v>53</v>
      </c>
    </row>
    <row r="10">
      <c r="A10" s="12" t="inlineStr">
        <is>
          <t>لينكدإن</t>
        </is>
      </c>
      <c r="B10" s="13" t="inlineStr">
        <is>
          <t>—</t>
        </is>
      </c>
    </row>
    <row r="11">
      <c r="A11" s="12" t="inlineStr">
        <is>
          <t>محل الإقامة</t>
        </is>
      </c>
      <c r="B11" s="13" t="inlineStr">
        <is>
          <t>دار مصر، مدينة العاشر من رمضان، مصر</t>
        </is>
      </c>
    </row>
    <row r="12">
      <c r="A12" s="12" t="inlineStr">
        <is>
          <t>الوظيفة الحالية</t>
        </is>
      </c>
      <c r="B12" s="13" t="inlineStr">
        <is>
          <t>مساعد مدير اإلنتاج</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21.7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t>
        </is>
      </c>
    </row>
    <row r="23">
      <c r="A23" s="12" t="inlineStr">
        <is>
          <t>المؤهل العلمي</t>
        </is>
      </c>
      <c r="B23" s="13" t="inlineStr">
        <is>
          <t>بكالوريوس العلوم — كيمياء عامة — جامعة الزقازيق; الماجستير المهني المصغر في إدارة األعمال Mini MBA — اإلدارة االستراتيجية والتشغيلية; الشهادة المهنية في إدارة المستودعات والمخازن — جامعة عين شمس</t>
        </is>
      </c>
    </row>
    <row r="24">
      <c r="A24" s="12" t="inlineStr">
        <is>
          <t>المهارات الفنية</t>
        </is>
      </c>
      <c r="B24" s="13" t="inlineStr">
        <is>
          <t>تخطيط اإلنتاج, الجدولة, تطوير وتوازن خطوط اإلنتاج, GMP, HACCP, ISO, تفتيشات وزارة الصحة, Waste Reduction, خفض التكاليف, SOPs, مراقبة المخزون, صرف وتوزين المواد الخام, التنبؤ بحجم الطلب, GMP / cGMP, Six Sigma, QA, Sterile Areas, Validation, Batch Records, أخذ ووزن الخامات, OHS</t>
        </is>
      </c>
    </row>
    <row r="25">
      <c r="A25" s="12" t="inlineStr">
        <is>
          <t>مهارات الحاسب</t>
        </is>
      </c>
      <c r="B25" s="13" t="inlineStr">
        <is>
          <t>Oracle EBS R12.2, SAP, إكسيل متقدم, Oracle R12.2, Oracle Inventory Management Fundamentals R12.2, SAP Systems, ERP</t>
        </is>
      </c>
    </row>
    <row r="26">
      <c r="A26" s="12" t="inlineStr">
        <is>
          <t>المهارات الإدارية</t>
        </is>
      </c>
      <c r="B26" s="13" t="inlineStr">
        <is>
          <t>إدارة اإلنتاج, إدارة المخازن وصرف المواد الخام, تدريب ورفع كفاءة فرق العمل, تقييم األداء, إدارة مدخالت البيانات اليومية, إدارة مخازن المواد الخام والمنتجات التامة الصنع, تجهيز المصنع, تطوير نظم تكويد وتتبع دقيقة للمواد, إدارة عمليات معايرة والأجهزة والماكينات</t>
        </is>
      </c>
    </row>
    <row r="27">
      <c r="A27" s="12" t="inlineStr">
        <is>
          <t>المهارات الشخصية</t>
        </is>
      </c>
      <c r="B27" s="13" t="inlineStr">
        <is>
          <t>مهارات التواصل, القيادة, التواصل الفعال</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مساعد مدير اإلنتاج, رئيس قسم المخازن وصرف المواد الخام, رئيس قسم توكيد الجودة QA</t>
        </is>
      </c>
    </row>
    <row r="31">
      <c r="A31" s="12" t="inlineStr">
        <is>
          <t>القطاعات / الصناعات</t>
        </is>
      </c>
      <c r="B31" s="13" t="inlineStr">
        <is>
          <t>الصناعات الدوائية</t>
        </is>
      </c>
    </row>
    <row r="32">
      <c r="A32" s="12" t="inlineStr">
        <is>
          <t>الشركات السابقة</t>
        </is>
      </c>
      <c r="B32" s="13" t="inlineStr">
        <is>
          <t>شركة أوتسوكا للمستحضرات الدوائية, شركة مصر أوتسوكا للمستحضرات الدوائية</t>
        </is>
      </c>
    </row>
    <row r="33">
      <c r="A33" s="12" t="inlineStr">
        <is>
          <t>الملخص المهني</t>
        </is>
      </c>
      <c r="B33" s="13" t="inlineStr">
        <is>
          <t>االشراف على الانتاج والعمليات بخبرة تتجاوز 5 سنوات في قطاع الصناعات الدوائية، وخلفية قوية في مجاالت توكيد الجودة (QA)، إدارة الإنتاج، وسالسل الإمداد العمل على تقليل الهدر وحاصل على الحزام الأخضر في Lean Six Sigma. أمتلك معرفة عميقة بتطبيق معايير التصنيع الجيد GMP/cGMP ونظام الـ (HACCP). محترف في العمل على أنظمة الـ ERP الكبرى مثل Oracle R12.2 &amp; SAP، وحاصالً على الميني MBA، مما يمنحني مهارة متميزة في قيادة فرق العمل، وزيادة الإنتاجية بالمصانع.</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cv mf.pdf</t>
        </is>
      </c>
    </row>
    <row r="37">
      <c r="A37" s="12" t="inlineStr">
        <is>
          <t>تاريخ الإضافة</t>
        </is>
      </c>
      <c r="B37" s="13" t="inlineStr">
        <is>
          <t>2026-09-24 06:59</t>
        </is>
      </c>
    </row>
  </sheetData>
  <mergeCells count="6">
    <mergeCell ref="A4:B4"/>
    <mergeCell ref="A21:B21"/>
    <mergeCell ref="A2:B2"/>
    <mergeCell ref="A29:B29"/>
    <mergeCell ref="A1:B1"/>
    <mergeCell ref="A34:B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موسى صبرى عدلى سالمة</t>
        </is>
      </c>
    </row>
    <row r="2">
      <c r="A2" s="10">
        <f>HYPERLINK("#'الفهرس'!A1","← العودة إلى الفهرس")</f>
        <v/>
      </c>
    </row>
    <row r="4">
      <c r="A4" s="11" t="inlineStr">
        <is>
          <t>البيانات الأساسية</t>
        </is>
      </c>
    </row>
    <row r="5">
      <c r="A5" s="12" t="inlineStr">
        <is>
          <t>الكود</t>
        </is>
      </c>
      <c r="B5" s="13" t="inlineStr">
        <is>
          <t>CAND-2026-003</t>
        </is>
      </c>
    </row>
    <row r="6">
      <c r="A6" s="12" t="inlineStr">
        <is>
          <t>الاسم الكامل</t>
        </is>
      </c>
      <c r="B6" s="13" t="inlineStr">
        <is>
          <t>موسى صبرى عدلى سالمة</t>
        </is>
      </c>
    </row>
    <row r="7">
      <c r="A7" s="12" t="inlineStr">
        <is>
          <t>البريد الإلكتروني</t>
        </is>
      </c>
      <c r="B7" s="13" t="inlineStr">
        <is>
          <t>mosasabry60@gmail.com</t>
        </is>
      </c>
    </row>
    <row r="8">
      <c r="A8" s="12" t="inlineStr">
        <is>
          <t>الهاتف</t>
        </is>
      </c>
      <c r="B8" s="13" t="inlineStr">
        <is>
          <t>01287535077</t>
        </is>
      </c>
    </row>
    <row r="9">
      <c r="A9" s="12" t="inlineStr">
        <is>
          <t>العمر</t>
        </is>
      </c>
      <c r="B9" s="13" t="n">
        <v>34</v>
      </c>
    </row>
    <row r="10">
      <c r="A10" s="12" t="inlineStr">
        <is>
          <t>لينكدإن</t>
        </is>
      </c>
      <c r="B10" s="13" t="inlineStr">
        <is>
          <t>https://www.linkedin.com/in/mosa-sabry-9867a8151</t>
        </is>
      </c>
    </row>
    <row r="11">
      <c r="A11" s="12" t="inlineStr">
        <is>
          <t>محل الإقامة</t>
        </is>
      </c>
      <c r="B11" s="13" t="inlineStr">
        <is>
          <t>العاشر من رمضان، الشرقية، مصر</t>
        </is>
      </c>
    </row>
    <row r="12">
      <c r="A12" s="12" t="inlineStr">
        <is>
          <t>الوظيفة الحالية</t>
        </is>
      </c>
      <c r="B12" s="13" t="inlineStr">
        <is>
          <t>مدير تخطيط ومتابعة الإنتاج</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13.7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العربية (اللغة الأم), اإنجليزية (جيد جدًا), روسى (أساسي), المانى (أساسي), الصينية (قيد التعلم حاليًا)</t>
        </is>
      </c>
    </row>
    <row r="23">
      <c r="A23" s="12" t="inlineStr">
        <is>
          <t>المؤهل العلمي</t>
        </is>
      </c>
      <c r="B23" s="13" t="inlineStr">
        <is>
          <t>ليسانس آداب — الآثار المصرية — جامعة سوهاج، مصر</t>
        </is>
      </c>
    </row>
    <row r="24">
      <c r="A24" s="12" t="inlineStr">
        <is>
          <t>المهارات الفنية</t>
        </is>
      </c>
      <c r="B24" s="13" t="inlineStr">
        <is>
          <t>تخطيط وجدولة الإنتاج, تخطيط احتياجات المواد MRP, إدارة سلسلة الإمداد, تخطيط الطلب, إدارة المخزون والمواد الخام, منهجية Lean (5S), Six Sigma, تحليل الفجوات GAP Analysis, أداة SIRI لتقييم جاهزية المصانع, خفض التكاليف والهالك, التحليل المالي والبيانات, التخطيط الاستراتيجي</t>
        </is>
      </c>
    </row>
    <row r="25">
      <c r="A25" s="12" t="inlineStr">
        <is>
          <t>مهارات الحاسب</t>
        </is>
      </c>
      <c r="B25" s="13" t="inlineStr">
        <is>
          <t>Microsoft Excel, SAP, Odoo, Comsys, Onyx Pro, QuickBooks, Peachtree, الافضل, Alfdal, AI</t>
        </is>
      </c>
    </row>
    <row r="26">
      <c r="A26" s="12" t="inlineStr">
        <is>
          <t>المهارات الإدارية</t>
        </is>
      </c>
      <c r="B26" s="13" t="inlineStr">
        <is>
          <t>إدارة فريق التخطيط والإشراف على الجدولة, وضع خطط استراتيجية شاملة, توجيه استخدام الموارد المالية والبشرية, تنظيم الجرد السنوي, وضع خطة طلب المواد الخام, وضع خطة التشغيل السنوية, إدارة العمليات المحاسبية والسجالت المالية, إدارة مخزون المواد الكيماوية الخام</t>
        </is>
      </c>
    </row>
    <row r="27">
      <c r="A27" s="12" t="inlineStr">
        <is>
          <t>المهارات الشخصية</t>
        </is>
      </c>
      <c r="B27" s="13" t="inlineStr">
        <is>
          <t>القيادة وإدارة الفرق, التواصل الفعال, القدرة على التواصل مع مختلف أنماط الأشخاص, تحمل ضغوط العمل وتقبل آراء الآخرين, حل المشكلات, التحليل, سرعة التعلم أثناء العمل</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مدير تخطيط ومتابعة الإنتاج, مدير تنفيذي CEO, أخصائي أول سلسلة إمداد وتخطيط MRP, أخصائي تخطيط وسلسلة إمداد MRP - مبتدئ, مدير مخازن كيماويات, محاسب, مراقب جودة</t>
        </is>
      </c>
    </row>
    <row r="31">
      <c r="A31" s="12" t="inlineStr">
        <is>
          <t>القطاعات / الصناعات</t>
        </is>
      </c>
      <c r="B31" s="13" t="inlineStr">
        <is>
          <t>النسيج, الزجاج, الأثاث, الصناعات الكهربائية, أثاث خشبي ومعدني, صناعات كهربائية وإضاءة حديثة, بطاطين</t>
        </is>
      </c>
    </row>
    <row r="32">
      <c r="A32" s="12" t="inlineStr">
        <is>
          <t>الشركات السابقة</t>
        </is>
      </c>
      <c r="B32" s="13" t="inlineStr">
        <is>
          <t>Hanimex, SKD, La Roche / Mehrez &amp; Krema / Nana Secret, الريمون نيو تكس, وردة تكس, نيو نجيح تكس, سيرو سمارت للأثاث</t>
        </is>
      </c>
    </row>
    <row r="33">
      <c r="A33" s="12" t="inlineStr">
        <is>
          <t>الملخص المهني</t>
        </is>
      </c>
      <c r="B33" s="13" t="inlineStr">
        <is>
          <t>مدير تخطيط وسلسلة إمداد بخبرة تزيد عن 10 سنوات في قطاع الصناعة شملت النسيج والزجاج والأثاث والصناعات الكهربائية، منها أكثر من 5 سنوات متخصصة في تخطيط سلسلة الإمداد MRP، وسنة خبرة في الإدارة التنفيذية.</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cv arb.pdf</t>
        </is>
      </c>
    </row>
    <row r="37">
      <c r="A37" s="12" t="inlineStr">
        <is>
          <t>تاريخ الإضافة</t>
        </is>
      </c>
      <c r="B37" s="13" t="inlineStr">
        <is>
          <t>2026-09-24 06:59</t>
        </is>
      </c>
    </row>
  </sheetData>
  <mergeCells count="6">
    <mergeCell ref="A4:B4"/>
    <mergeCell ref="A21:B21"/>
    <mergeCell ref="A2:B2"/>
    <mergeCell ref="A29:B29"/>
    <mergeCell ref="A1:B1"/>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Amr Shaaban Amin</t>
        </is>
      </c>
    </row>
    <row r="2">
      <c r="A2" s="10">
        <f>HYPERLINK("#'الفهرس'!A1","← العودة إلى الفهرس")</f>
        <v/>
      </c>
    </row>
    <row r="4">
      <c r="A4" s="11" t="inlineStr">
        <is>
          <t>البيانات الأساسية</t>
        </is>
      </c>
    </row>
    <row r="5">
      <c r="A5" s="12" t="inlineStr">
        <is>
          <t>الكود</t>
        </is>
      </c>
      <c r="B5" s="13" t="inlineStr">
        <is>
          <t>CAND-2026-004</t>
        </is>
      </c>
    </row>
    <row r="6">
      <c r="A6" s="12" t="inlineStr">
        <is>
          <t>الاسم الكامل</t>
        </is>
      </c>
      <c r="B6" s="13" t="inlineStr">
        <is>
          <t>Amr Shaaban Amin</t>
        </is>
      </c>
    </row>
    <row r="7">
      <c r="A7" s="12" t="inlineStr">
        <is>
          <t>البريد الإلكتروني</t>
        </is>
      </c>
      <c r="B7" s="13" t="inlineStr">
        <is>
          <t>amr_do2010@yahoo.com</t>
        </is>
      </c>
    </row>
    <row r="8">
      <c r="A8" s="12" t="inlineStr">
        <is>
          <t>الهاتف</t>
        </is>
      </c>
      <c r="B8" s="13" t="inlineStr">
        <is>
          <t>01143407536</t>
        </is>
      </c>
    </row>
    <row r="9">
      <c r="A9" s="12" t="inlineStr">
        <is>
          <t>العمر</t>
        </is>
      </c>
      <c r="B9" s="13" t="n">
        <v>35</v>
      </c>
    </row>
    <row r="10">
      <c r="A10" s="12" t="inlineStr">
        <is>
          <t>لينكدإن</t>
        </is>
      </c>
      <c r="B10" s="13" t="inlineStr">
        <is>
          <t>—</t>
        </is>
      </c>
    </row>
    <row r="11">
      <c r="A11" s="12" t="inlineStr">
        <is>
          <t>محل الإقامة</t>
        </is>
      </c>
      <c r="B11" s="13" t="inlineStr">
        <is>
          <t>Capital Gardens - cairo-egypt</t>
        </is>
      </c>
    </row>
    <row r="12">
      <c r="A12" s="12" t="inlineStr">
        <is>
          <t>الوظيفة الحالية</t>
        </is>
      </c>
      <c r="B12" s="13" t="inlineStr">
        <is>
          <t>Plant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14.2</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Married</t>
        </is>
      </c>
    </row>
    <row r="20">
      <c r="A20" s="12" t="inlineStr">
        <is>
          <t>الموقف من التجنيد</t>
        </is>
      </c>
      <c r="B20" s="13" t="inlineStr">
        <is>
          <t>Exempted</t>
        </is>
      </c>
    </row>
    <row r="21">
      <c r="A21" s="11" t="inlineStr">
        <is>
          <t>التعليم والمهارات</t>
        </is>
      </c>
    </row>
    <row r="22">
      <c r="A22" s="12" t="inlineStr">
        <is>
          <t>اللغات</t>
        </is>
      </c>
      <c r="B22" s="13" t="inlineStr">
        <is>
          <t>Arabic (Mother tongue), English (good writing , speaking)</t>
        </is>
      </c>
    </row>
    <row r="23">
      <c r="A23" s="12" t="inlineStr">
        <is>
          <t>المؤهل العلمي</t>
        </is>
      </c>
      <c r="B23" s="13" t="inlineStr">
        <is>
          <t>B.Sc. — Accounting — Azhar university, Cairo, Egypt; Master's Degree — Supply Chain Management — Arab Academy for Science, Technology and Maritime Transport (AASTMT)</t>
        </is>
      </c>
    </row>
    <row r="24">
      <c r="A24" s="12" t="inlineStr">
        <is>
          <t>المهارات الفنية</t>
        </is>
      </c>
      <c r="B24" s="13" t="inlineStr">
        <is>
          <t>Lean Manufacturing, Six Sigma, OEE, Production Planning, Inventory Management, Procurement, Supply Chain Management, Quality Control, Preventive Maintenance, BOM Creation, Cost Calculation</t>
        </is>
      </c>
    </row>
    <row r="25">
      <c r="A25" s="12" t="inlineStr">
        <is>
          <t>مهارات الحاسب</t>
        </is>
      </c>
      <c r="B25" s="13" t="inlineStr">
        <is>
          <t>Microsoft Office, Word, Excel, PowerPoint, Internet Search, Outlook, ERP system, Softex, Double Click, Odoo, ICDL</t>
        </is>
      </c>
    </row>
    <row r="26">
      <c r="A26" s="12" t="inlineStr">
        <is>
          <t>المهارات الإدارية</t>
        </is>
      </c>
      <c r="B26" s="13" t="inlineStr">
        <is>
          <t>Plant Operations Management, Team Leadership, Process Optimization, KPI Monitoring, Supplier Management, Project Management, Training and Coaching, Cross-Functional Coordination</t>
        </is>
      </c>
    </row>
    <row r="27">
      <c r="A27" s="12" t="inlineStr">
        <is>
          <t>المهارات الشخصية</t>
        </is>
      </c>
      <c r="B27" s="13" t="inlineStr">
        <is>
          <t>Problem Solving, Negotiation, Communication, Work Under Pressure, Teamwork, Flexibility, Presentation</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Plant Manager, Supply Chain Manager, Planning manager, Planning Specialist</t>
        </is>
      </c>
    </row>
    <row r="31">
      <c r="A31" s="12" t="inlineStr">
        <is>
          <t>القطاعات / الصناعات</t>
        </is>
      </c>
      <c r="B31" s="13" t="inlineStr">
        <is>
          <t>Electric Appliances Industry, Home Appliances, Pipes Technology &amp; Fittings</t>
        </is>
      </c>
    </row>
    <row r="32">
      <c r="A32" s="12" t="inlineStr">
        <is>
          <t>الشركات السابقة</t>
        </is>
      </c>
      <c r="B32" s="13" t="inlineStr">
        <is>
          <t>Media for Electric Appliances Industry – BRAVO, GTec group for home appliances, The Egyptian company for pipes technology &amp; fittings.</t>
        </is>
      </c>
    </row>
    <row r="33">
      <c r="A33" s="12" t="inlineStr">
        <is>
          <t>الملخص المهني</t>
        </is>
      </c>
      <c r="B33" s="13" t="inlineStr">
        <is>
          <t>Supply Chain Manager seeking an opportunity in a reputable multinational organization where educational background and skills can be developed.</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Amr shaaban cv septemper 2026.pdf</t>
        </is>
      </c>
    </row>
    <row r="37">
      <c r="A37" s="12" t="inlineStr">
        <is>
          <t>تاريخ الإضافة</t>
        </is>
      </c>
      <c r="B37" s="13" t="inlineStr">
        <is>
          <t>2026-09-24 06:59</t>
        </is>
      </c>
    </row>
  </sheetData>
  <mergeCells count="6">
    <mergeCell ref="A4:B4"/>
    <mergeCell ref="A21:B21"/>
    <mergeCell ref="A2:B2"/>
    <mergeCell ref="A29:B29"/>
    <mergeCell ref="A1:B1"/>
    <mergeCell ref="A34:B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محمد فكرى أحمد</t>
        </is>
      </c>
    </row>
    <row r="2">
      <c r="A2" s="10">
        <f>HYPERLINK("#'الفهرس'!A1","← العودة إلى الفهرس")</f>
        <v/>
      </c>
    </row>
    <row r="4">
      <c r="A4" s="11" t="inlineStr">
        <is>
          <t>البيانات الأساسية</t>
        </is>
      </c>
    </row>
    <row r="5">
      <c r="A5" s="12" t="inlineStr">
        <is>
          <t>الكود</t>
        </is>
      </c>
      <c r="B5" s="13" t="inlineStr">
        <is>
          <t>CAND-2026-005</t>
        </is>
      </c>
    </row>
    <row r="6">
      <c r="A6" s="12" t="inlineStr">
        <is>
          <t>الاسم الكامل</t>
        </is>
      </c>
      <c r="B6" s="13" t="inlineStr">
        <is>
          <t>محمد فكرى أحمد</t>
        </is>
      </c>
    </row>
    <row r="7">
      <c r="A7" s="12" t="inlineStr">
        <is>
          <t>البريد الإلكتروني</t>
        </is>
      </c>
      <c r="B7" s="13" t="inlineStr">
        <is>
          <t>2mea2015@hotmail.com</t>
        </is>
      </c>
    </row>
    <row r="8">
      <c r="A8" s="12" t="inlineStr">
        <is>
          <t>الهاتف</t>
        </is>
      </c>
      <c r="B8" s="13" t="inlineStr">
        <is>
          <t>'+201092995252</t>
        </is>
      </c>
    </row>
    <row r="9">
      <c r="A9" s="12" t="inlineStr">
        <is>
          <t>العمر</t>
        </is>
      </c>
      <c r="B9" s="13" t="n">
        <v>44</v>
      </c>
    </row>
    <row r="10">
      <c r="A10" s="12" t="inlineStr">
        <is>
          <t>لينكدإن</t>
        </is>
      </c>
      <c r="B10" s="13" t="inlineStr">
        <is>
          <t>—</t>
        </is>
      </c>
    </row>
    <row r="11">
      <c r="A11" s="12" t="inlineStr">
        <is>
          <t>محل الإقامة</t>
        </is>
      </c>
      <c r="B11" s="13" t="inlineStr">
        <is>
          <t>10th of ramadan, city</t>
        </is>
      </c>
    </row>
    <row r="12">
      <c r="A12" s="12" t="inlineStr">
        <is>
          <t>الوظيفة الحالية</t>
        </is>
      </c>
      <c r="B12" s="13" t="inlineStr">
        <is>
          <t>مدير مصنع pvc بروفايل</t>
        </is>
      </c>
    </row>
    <row r="13">
      <c r="A13" s="12" t="inlineStr">
        <is>
          <t>الوظيفة المتقدم لها</t>
        </is>
      </c>
      <c r="B13" s="13" t="inlineStr">
        <is>
          <t>مدير مصنع البلاستيك</t>
        </is>
      </c>
    </row>
    <row r="14">
      <c r="A14" s="12" t="inlineStr">
        <is>
          <t>الحالة</t>
        </is>
      </c>
      <c r="B14" s="13" t="inlineStr">
        <is>
          <t>Interview</t>
        </is>
      </c>
    </row>
    <row r="15">
      <c r="A15" s="12" t="inlineStr">
        <is>
          <t>التقييم</t>
        </is>
      </c>
      <c r="B15" s="13" t="n">
        <v>3</v>
      </c>
    </row>
    <row r="16">
      <c r="A16" s="12" t="inlineStr">
        <is>
          <t>سنوات الخبرة</t>
        </is>
      </c>
      <c r="B16" s="13" t="n">
        <v>11.7</v>
      </c>
    </row>
    <row r="17">
      <c r="A17" s="12" t="inlineStr">
        <is>
          <t>الراتب المتوقع</t>
        </is>
      </c>
      <c r="B17" s="13" t="n">
        <v>45000</v>
      </c>
    </row>
    <row r="18">
      <c r="A18" s="12" t="inlineStr">
        <is>
          <t>فترة الإخطار (بالأيام)</t>
        </is>
      </c>
      <c r="B18" s="13" t="inlineStr">
        <is>
          <t>—</t>
        </is>
      </c>
    </row>
    <row r="19">
      <c r="A19" s="12" t="inlineStr">
        <is>
          <t>الحالة الاجتماعية</t>
        </is>
      </c>
      <c r="B19" s="13" t="inlineStr">
        <is>
          <t>متزوج</t>
        </is>
      </c>
    </row>
    <row r="20">
      <c r="A20" s="12" t="inlineStr">
        <is>
          <t>الموقف من التجنيد</t>
        </is>
      </c>
      <c r="B20" s="13" t="inlineStr">
        <is>
          <t>—</t>
        </is>
      </c>
    </row>
    <row r="21">
      <c r="A21" s="11" t="inlineStr">
        <is>
          <t>التعليم والمهارات</t>
        </is>
      </c>
    </row>
    <row r="22">
      <c r="A22" s="12" t="inlineStr">
        <is>
          <t>اللغات</t>
        </is>
      </c>
      <c r="B22" s="13" t="inlineStr">
        <is>
          <t>العربية (اللغة الأم), الإنجليزية (جيد)</t>
        </is>
      </c>
    </row>
    <row r="23">
      <c r="A23" s="12" t="inlineStr">
        <is>
          <t>المؤهل العلمي</t>
        </is>
      </c>
      <c r="B23" s="13" t="inlineStr">
        <is>
          <t>بكالوريوس — خدمة اجتماعية — القاهرة</t>
        </is>
      </c>
    </row>
    <row r="24">
      <c r="A24" s="12" t="inlineStr">
        <is>
          <t>المهارات الفنية</t>
        </is>
      </c>
      <c r="B24" s="13" t="inlineStr">
        <is>
          <t>صحب البروفايل ال PVC, إدارة عمليات السحب, الصيانة الوقائية والتصحيحية, مراقبة الجودة</t>
        </is>
      </c>
    </row>
    <row r="25">
      <c r="A25" s="12" t="inlineStr">
        <is>
          <t>مهارات الحاسب</t>
        </is>
      </c>
      <c r="B25" s="13" t="inlineStr">
        <is>
          <t>Word, Excel, Access, PowerPoint, Outlook, Solidworks</t>
        </is>
      </c>
    </row>
    <row r="26">
      <c r="A26" s="12" t="inlineStr">
        <is>
          <t>المهارات الإدارية</t>
        </is>
      </c>
      <c r="B26" s="13" t="inlineStr">
        <is>
          <t>إدارة فريق العمل والربط بين الإارات, متابعة عمليات تخطيط الإنتاج, إدارة الميزانيات والتكاليف</t>
        </is>
      </c>
    </row>
    <row r="27">
      <c r="A27" s="12" t="inlineStr">
        <is>
          <t>المهارات الشخصية</t>
        </is>
      </c>
      <c r="B27" s="13" t="inlineStr">
        <is>
          <t>التحليل وحل المعوقات, التميز التشغيلي, السلامة المهنية</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مديرمصنع, مدير مصنع pvc بروفايل, مدير إدارة المشروعات والتطوير</t>
        </is>
      </c>
    </row>
    <row r="31">
      <c r="A31" s="12" t="inlineStr">
        <is>
          <t>القطاعات / الصناعات</t>
        </is>
      </c>
      <c r="B31" s="13" t="inlineStr">
        <is>
          <t>Plastic Manufacturing</t>
        </is>
      </c>
    </row>
    <row r="32">
      <c r="A32" s="12" t="inlineStr">
        <is>
          <t>الشركات السابقة</t>
        </is>
      </c>
      <c r="B32" s="13" t="inlineStr">
        <is>
          <t>شركة Solido لأغطية الصرف الصحى, مجموعة مصر الحجاز, Partners &amp; Khoury</t>
        </is>
      </c>
    </row>
    <row r="33">
      <c r="A33" s="12" t="inlineStr">
        <is>
          <t>الملخص المهني</t>
        </is>
      </c>
      <c r="B33" s="13" t="inlineStr">
        <is>
          <t>مدير مصنع بخبرة تزيد عن 11 عام في عمليات سحب البروفايل ال PVC، أمتلك سجلاً جيد في عمليات السحب مع استراتيجيات الإدارة الحديثة. نجحت في رفع كفاءة خطوط الإنتاج بنسبة [20%]، وخفض معدلات الهالك بنسبة [15%] من خلال تطوير خطوط الصيانة الوقائية (Preventive Maintenance). أتميز بقدرة عالية على إدارة سلاسل الإمداد وتحقيق المستهدفات الإنتاجية بتكلفة مثالية، مع الالتزام الصارم بمعايير الجودة وأنظمة السلامة المهنية، والعمل على بناء فرق عمل محفزة لتعظيم الإنتاجية وتطوير أداء المصنع بشكل مستدام.</t>
        </is>
      </c>
    </row>
    <row r="34">
      <c r="A34" s="11" t="inlineStr">
        <is>
          <t>التوظيف والملاحظات</t>
        </is>
      </c>
    </row>
    <row r="35">
      <c r="A35" s="12" t="inlineStr">
        <is>
          <t>ملاحظات مسؤول التوظيف</t>
        </is>
      </c>
      <c r="B35" s="13" t="inlineStr">
        <is>
          <t>شخص محترم لكن خبره فنيه ليست عميقة. له شركة كمبيوتر و IT</t>
        </is>
      </c>
    </row>
    <row r="36">
      <c r="A36" s="12" t="inlineStr">
        <is>
          <t>ملف المصدر</t>
        </is>
      </c>
      <c r="B36" s="13" t="inlineStr">
        <is>
          <t>cv, .pdf</t>
        </is>
      </c>
    </row>
    <row r="37">
      <c r="A37" s="12" t="inlineStr">
        <is>
          <t>تاريخ الإضافة</t>
        </is>
      </c>
      <c r="B37" s="13" t="inlineStr">
        <is>
          <t>2026-09-24 07:00</t>
        </is>
      </c>
    </row>
  </sheetData>
  <mergeCells count="6">
    <mergeCell ref="A4:B4"/>
    <mergeCell ref="A21:B21"/>
    <mergeCell ref="A2:B2"/>
    <mergeCell ref="A29:B29"/>
    <mergeCell ref="A1:B1"/>
    <mergeCell ref="A34:B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MARWA SALAH</t>
        </is>
      </c>
    </row>
    <row r="2">
      <c r="A2" s="10">
        <f>HYPERLINK("#'الفهرس'!A1","← العودة إلى الفهرس")</f>
        <v/>
      </c>
    </row>
    <row r="4">
      <c r="A4" s="11" t="inlineStr">
        <is>
          <t>البيانات الأساسية</t>
        </is>
      </c>
    </row>
    <row r="5">
      <c r="A5" s="12" t="inlineStr">
        <is>
          <t>الكود</t>
        </is>
      </c>
      <c r="B5" s="13" t="inlineStr">
        <is>
          <t>CAND-2026-006</t>
        </is>
      </c>
    </row>
    <row r="6">
      <c r="A6" s="12" t="inlineStr">
        <is>
          <t>الاسم الكامل</t>
        </is>
      </c>
      <c r="B6" s="13" t="inlineStr">
        <is>
          <t>MARWA SALAH</t>
        </is>
      </c>
    </row>
    <row r="7">
      <c r="A7" s="12" t="inlineStr">
        <is>
          <t>البريد الإلكتروني</t>
        </is>
      </c>
      <c r="B7" s="13" t="inlineStr">
        <is>
          <t>marwa.salah2382001@gmail.com</t>
        </is>
      </c>
    </row>
    <row r="8">
      <c r="A8" s="12" t="inlineStr">
        <is>
          <t>الهاتف</t>
        </is>
      </c>
      <c r="B8" s="13" t="inlineStr">
        <is>
          <t>'+20 122 018 5839</t>
        </is>
      </c>
    </row>
    <row r="9">
      <c r="A9" s="12" t="inlineStr">
        <is>
          <t>العمر</t>
        </is>
      </c>
      <c r="B9" s="13" t="inlineStr">
        <is>
          <t>—</t>
        </is>
      </c>
    </row>
    <row r="10">
      <c r="A10" s="12" t="inlineStr">
        <is>
          <t>لينكدإن</t>
        </is>
      </c>
      <c r="B10" s="13" t="inlineStr">
        <is>
          <t>https://www.linkedin.com/in/eng-marwa-salah-635068289</t>
        </is>
      </c>
    </row>
    <row r="11">
      <c r="A11" s="12" t="inlineStr">
        <is>
          <t>محل الإقامة</t>
        </is>
      </c>
      <c r="B11" s="13" t="inlineStr">
        <is>
          <t>Cario, Egypt</t>
        </is>
      </c>
    </row>
    <row r="12">
      <c r="A12" s="12" t="inlineStr">
        <is>
          <t>الوظيفة الحالية</t>
        </is>
      </c>
      <c r="B12" s="13" t="inlineStr">
        <is>
          <t>Electronics &amp; Telecommunications Technology|Ai Engineer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inlineStr">
        <is>
          <t>—</t>
        </is>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English (Good)</t>
        </is>
      </c>
    </row>
    <row r="23">
      <c r="A23" s="12" t="inlineStr">
        <is>
          <t>المؤهل العلمي</t>
        </is>
      </c>
      <c r="B23" s="13" t="inlineStr">
        <is>
          <t>Master’s Researcher — Electronics and Communications Technology — Capital University – Faculty of Technology and Education; Bachelor's degree — Electronics and Communications Technology — Capital University - College of Technology; Diploma in Engineering — Technical Industrial Institute, Banha; Industrial Secondary Education — Ibnuhas Industrial Secondary School</t>
        </is>
      </c>
    </row>
    <row r="24">
      <c r="A24" s="12" t="inlineStr">
        <is>
          <t>المهارات الفنية</t>
        </is>
      </c>
      <c r="B24" s="13" t="inlineStr">
        <is>
          <t>Artificial Intelligence, Machine Learning, Deep Learning, Natural Language Processing (NLP), Generative AI, Control Systems, Embedded Systems, Electronics, Networking, PCB Design, Arduino, Ethical Hacking, Cybersecurity</t>
        </is>
      </c>
    </row>
    <row r="25">
      <c r="A25" s="12" t="inlineStr">
        <is>
          <t>مهارات الحاسب</t>
        </is>
      </c>
      <c r="B25" s="13" t="inlineStr">
        <is>
          <t>Python, Embedded C, Packet Tracer, Wire Shark, Excel 2019, Access 2019, EKTS</t>
        </is>
      </c>
    </row>
    <row r="26">
      <c r="A26" s="12" t="inlineStr">
        <is>
          <t>المهارات الإدارية</t>
        </is>
      </c>
      <c r="B26" s="13" t="inlineStr">
        <is>
          <t>Office Management, Marketing &amp; Sales</t>
        </is>
      </c>
    </row>
    <row r="27">
      <c r="A27" s="12" t="inlineStr">
        <is>
          <t>المهارات الشخصية</t>
        </is>
      </c>
      <c r="B27" s="13" t="inlineStr">
        <is>
          <t>Strong Communication Skills, Adaptability &amp; Time Management, Team Collaboration &amp; Leadership, Problem-Solving &amp; Critical Thinking, Creativity &amp; Innovation in Digital Solutions, Critical Thinking</t>
        </is>
      </c>
    </row>
    <row r="28">
      <c r="A28" s="12" t="inlineStr">
        <is>
          <t>مهارات أخرى</t>
        </is>
      </c>
      <c r="B28" s="13" t="inlineStr">
        <is>
          <t>Proficiency in AI Generative Tools, Programming (General &amp; Arduino)</t>
        </is>
      </c>
    </row>
    <row r="29">
      <c r="A29" s="11" t="inlineStr">
        <is>
          <t>الخبرات السابقة</t>
        </is>
      </c>
    </row>
    <row r="30">
      <c r="A30" s="12" t="inlineStr">
        <is>
          <t>الوظائف السابقة</t>
        </is>
      </c>
      <c r="B30" s="13" t="inlineStr">
        <is>
          <t>Technical Training, Training</t>
        </is>
      </c>
    </row>
    <row r="31">
      <c r="A31" s="12" t="inlineStr">
        <is>
          <t>القطاعات / الصناعات</t>
        </is>
      </c>
      <c r="B31" s="13" t="inlineStr">
        <is>
          <t>—</t>
        </is>
      </c>
    </row>
    <row r="32">
      <c r="A32" s="12" t="inlineStr">
        <is>
          <t>الشركات السابقة</t>
        </is>
      </c>
      <c r="B32" s="13" t="inlineStr">
        <is>
          <t>Roqy Al-Maaref Secondary Industrial School for Girls, North Cairo Electricity Company</t>
        </is>
      </c>
    </row>
    <row r="33">
      <c r="A33" s="12" t="inlineStr">
        <is>
          <t>الملخص المهني</t>
        </is>
      </c>
      <c r="B33" s="13" t="inlineStr">
        <is>
          <t>Electronics and Communications Technology Engineer and Master’s Researcher in Intelligent Data Security, with an academic and engineering background in Artificial Intelligence, Programming, Machine Learning, Deep Learning, and Natural Language Processing (NLP).</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Eng MARWASALAH cv .pdf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Salah Ahmed Abd El-Aziz</t>
        </is>
      </c>
    </row>
    <row r="2">
      <c r="A2" s="10">
        <f>HYPERLINK("#'الفهرس'!A1","← العودة إلى الفهرس")</f>
        <v/>
      </c>
    </row>
    <row r="4">
      <c r="A4" s="11" t="inlineStr">
        <is>
          <t>البيانات الأساسية</t>
        </is>
      </c>
    </row>
    <row r="5">
      <c r="A5" s="12" t="inlineStr">
        <is>
          <t>الكود</t>
        </is>
      </c>
      <c r="B5" s="13" t="inlineStr">
        <is>
          <t>CAND-2026-007</t>
        </is>
      </c>
    </row>
    <row r="6">
      <c r="A6" s="12" t="inlineStr">
        <is>
          <t>الاسم الكامل</t>
        </is>
      </c>
      <c r="B6" s="13" t="inlineStr">
        <is>
          <t>Salah Ahmed Abd El-Aziz</t>
        </is>
      </c>
    </row>
    <row r="7">
      <c r="A7" s="12" t="inlineStr">
        <is>
          <t>البريد الإلكتروني</t>
        </is>
      </c>
      <c r="B7" s="13" t="inlineStr">
        <is>
          <t>saIah.ahmed576@yahoo.com</t>
        </is>
      </c>
    </row>
    <row r="8">
      <c r="A8" s="12" t="inlineStr">
        <is>
          <t>الهاتف</t>
        </is>
      </c>
      <c r="B8" s="13" t="inlineStr">
        <is>
          <t>01001701492</t>
        </is>
      </c>
    </row>
    <row r="9">
      <c r="A9" s="12" t="inlineStr">
        <is>
          <t>العمر</t>
        </is>
      </c>
      <c r="B9" s="13" t="n">
        <v>44</v>
      </c>
    </row>
    <row r="10">
      <c r="A10" s="12" t="inlineStr">
        <is>
          <t>لينكدإن</t>
        </is>
      </c>
      <c r="B10" s="13" t="inlineStr">
        <is>
          <t>—</t>
        </is>
      </c>
    </row>
    <row r="11">
      <c r="A11" s="12" t="inlineStr">
        <is>
          <t>محل الإقامة</t>
        </is>
      </c>
      <c r="B11" s="13" t="inlineStr">
        <is>
          <t>10th of Ramadan city,Egypt</t>
        </is>
      </c>
    </row>
    <row r="12">
      <c r="A12" s="12" t="inlineStr">
        <is>
          <t>الوظيفة الحالية</t>
        </is>
      </c>
      <c r="B12" s="13" t="inlineStr">
        <is>
          <t>production manager</t>
        </is>
      </c>
    </row>
    <row r="13">
      <c r="A13" s="12" t="inlineStr">
        <is>
          <t>الوظيفة المتقدم لها</t>
        </is>
      </c>
      <c r="B13" s="13" t="inlineStr">
        <is>
          <t>—</t>
        </is>
      </c>
    </row>
    <row r="14">
      <c r="A14" s="12" t="inlineStr">
        <is>
          <t>الحالة</t>
        </is>
      </c>
      <c r="B14" s="13" t="inlineStr">
        <is>
          <t>Screening</t>
        </is>
      </c>
    </row>
    <row r="15">
      <c r="A15" s="12" t="inlineStr">
        <is>
          <t>التقييم</t>
        </is>
      </c>
      <c r="B15" s="13" t="inlineStr">
        <is>
          <t>—</t>
        </is>
      </c>
    </row>
    <row r="16">
      <c r="A16" s="12" t="inlineStr">
        <is>
          <t>سنوات الخبرة</t>
        </is>
      </c>
      <c r="B16" s="13" t="n">
        <v>19.6</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Married</t>
        </is>
      </c>
    </row>
    <row r="20">
      <c r="A20" s="12" t="inlineStr">
        <is>
          <t>الموقف من التجنيد</t>
        </is>
      </c>
      <c r="B20" s="13" t="inlineStr">
        <is>
          <t>Exempted</t>
        </is>
      </c>
    </row>
    <row r="21">
      <c r="A21" s="11" t="inlineStr">
        <is>
          <t>التعليم والمهارات</t>
        </is>
      </c>
    </row>
    <row r="22">
      <c r="A22" s="12" t="inlineStr">
        <is>
          <t>اللغات</t>
        </is>
      </c>
      <c r="B22" s="13" t="inlineStr">
        <is>
          <t>Arabic: My Native., English: very good.</t>
        </is>
      </c>
    </row>
    <row r="23">
      <c r="A23" s="12" t="inlineStr">
        <is>
          <t>المؤهل العلمي</t>
        </is>
      </c>
      <c r="B23" s="13" t="inlineStr">
        <is>
          <t>B.S. — Chemistry — Ain Shams University</t>
        </is>
      </c>
    </row>
    <row r="24">
      <c r="A24" s="12" t="inlineStr">
        <is>
          <t>المهارات الفنية</t>
        </is>
      </c>
      <c r="B24" s="13" t="inlineStr">
        <is>
          <t>chemical formulations for making PVC compound, sheathing and insulation cables, pipes, fittings, shoes, hoses, Soft profile, Rigid UPVC sections</t>
        </is>
      </c>
    </row>
    <row r="25">
      <c r="A25" s="12" t="inlineStr">
        <is>
          <t>مهارات الحاسب</t>
        </is>
      </c>
      <c r="B25" s="13" t="inlineStr">
        <is>
          <t>Microsoft Office Package, word, access, Excel, PowerPoint, Excel &amp; access advanced, Internet surfing, Email programs, internet explorer, Outlook express</t>
        </is>
      </c>
    </row>
    <row r="26">
      <c r="A26" s="12" t="inlineStr">
        <is>
          <t>المهارات الإدارية</t>
        </is>
      </c>
      <c r="B26" s="13" t="inlineStr">
        <is>
          <t>organize, direct supervise &amp; lead stuff</t>
        </is>
      </c>
    </row>
    <row r="27">
      <c r="A27" s="12" t="inlineStr">
        <is>
          <t>المهارات الشخصية</t>
        </is>
      </c>
      <c r="B27" s="13" t="inlineStr">
        <is>
          <t>Negotiation, strategy planning, Work well under pressure, time management</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manager, production Consultant, production Engineer</t>
        </is>
      </c>
    </row>
    <row r="31">
      <c r="A31" s="12" t="inlineStr">
        <is>
          <t>القطاعات / الصناعات</t>
        </is>
      </c>
      <c r="B31" s="13" t="inlineStr">
        <is>
          <t>plastic industry, UPVC sections for windows and doors, Accordion doors industry</t>
        </is>
      </c>
    </row>
    <row r="32">
      <c r="A32" s="12" t="inlineStr">
        <is>
          <t>الشركات السابقة</t>
        </is>
      </c>
      <c r="B32" s="13" t="inlineStr">
        <is>
          <t>Nileplast company for plastic industry, Manazil Company for UPVC sections for windows and doors, MegaPlast company for Accordion doors industry, Watania Plast company for plastic industry, Egyplast Company for plastic industry (EIsewedy for CabIes)</t>
        </is>
      </c>
    </row>
    <row r="33">
      <c r="A33" s="12" t="inlineStr">
        <is>
          <t>الملخص المهني</t>
        </is>
      </c>
      <c r="B33" s="13" t="inlineStr">
        <is>
          <t>Seeking a suitable position that would utilize my skills and qualifications in a dynamic and well established organization and allow my skills and qualifications to be in continuous improvement and I can achieve my goals which I consider as my duty in life.</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DOC-20231022-WA0001..pdf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مصطفى حسن السعيد عليوه</t>
        </is>
      </c>
    </row>
    <row r="2">
      <c r="A2" s="10">
        <f>HYPERLINK("#'الفهرس'!A1","← العودة إلى الفهرس")</f>
        <v/>
      </c>
    </row>
    <row r="4">
      <c r="A4" s="11" t="inlineStr">
        <is>
          <t>البيانات الأساسية</t>
        </is>
      </c>
    </row>
    <row r="5">
      <c r="A5" s="12" t="inlineStr">
        <is>
          <t>الكود</t>
        </is>
      </c>
      <c r="B5" s="13" t="inlineStr">
        <is>
          <t>CAND-2026-008</t>
        </is>
      </c>
    </row>
    <row r="6">
      <c r="A6" s="12" t="inlineStr">
        <is>
          <t>الاسم الكامل</t>
        </is>
      </c>
      <c r="B6" s="13" t="inlineStr">
        <is>
          <t>مصطفى حسن السعيد عليوه</t>
        </is>
      </c>
    </row>
    <row r="7">
      <c r="A7" s="12" t="inlineStr">
        <is>
          <t>البريد الإلكتروني</t>
        </is>
      </c>
      <c r="B7" s="13" t="inlineStr">
        <is>
          <t>m_elewa89@yahoo.com</t>
        </is>
      </c>
    </row>
    <row r="8">
      <c r="A8" s="12" t="inlineStr">
        <is>
          <t>الهاتف</t>
        </is>
      </c>
      <c r="B8" s="13" t="inlineStr">
        <is>
          <t>01205681673 - 01098742992</t>
        </is>
      </c>
    </row>
    <row r="9">
      <c r="A9" s="12" t="inlineStr">
        <is>
          <t>العمر</t>
        </is>
      </c>
      <c r="B9" s="13" t="n">
        <v>35</v>
      </c>
    </row>
    <row r="10">
      <c r="A10" s="12" t="inlineStr">
        <is>
          <t>لينكدإن</t>
        </is>
      </c>
      <c r="B10" s="13" t="inlineStr">
        <is>
          <t>—</t>
        </is>
      </c>
    </row>
    <row r="11">
      <c r="A11" s="12" t="inlineStr">
        <is>
          <t>محل الإقامة</t>
        </is>
      </c>
      <c r="B11" s="13" t="inlineStr">
        <is>
          <t>ميت غمر– دقهلية</t>
        </is>
      </c>
    </row>
    <row r="12">
      <c r="A12" s="12" t="inlineStr">
        <is>
          <t>الوظيفة الحالية</t>
        </is>
      </c>
      <c r="B12" s="13" t="inlineStr">
        <is>
          <t>محاسب</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inlineStr">
        <is>
          <t>—</t>
        </is>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العربيه (الاصل), الانجليزيه جيد جدا (تحدث قراءه كتابة)</t>
        </is>
      </c>
    </row>
    <row r="23">
      <c r="A23" s="12" t="inlineStr">
        <is>
          <t>المؤهل العلمي</t>
        </is>
      </c>
      <c r="B23" s="13" t="inlineStr">
        <is>
          <t>بكالوريوس تجارة — قسم المحاسبه — جامعه الزقازيق كليه التجارة</t>
        </is>
      </c>
    </row>
    <row r="24">
      <c r="A24" s="12" t="inlineStr">
        <is>
          <t>المهارات الفنية</t>
        </is>
      </c>
      <c r="B24" s="13" t="inlineStr">
        <is>
          <t>account preparation, تسجيل العمليات اليومية, التسويات والمطالبات, مراجعه أذون الصرف والوارد, تقرير الرواتب الشهريه, تصفيه حسابات الموظفين, جرد لصندوق النقدية, متابعه المخزون, إدخال قيود اليومية, متابعة أرصدة العمالء والموردين, التسويات البنكية, قائمه الدخل</t>
        </is>
      </c>
    </row>
    <row r="25">
      <c r="A25" s="12" t="inlineStr">
        <is>
          <t>مهارات الحاسب</t>
        </is>
      </c>
      <c r="B25" s="13" t="inlineStr">
        <is>
          <t>ICDL, Word, Excel, Access, Power point, Internet, Hard + soft ware, برنامج الميزان, برنامج الميزان المحاسبي</t>
        </is>
      </c>
    </row>
    <row r="26">
      <c r="A26" s="12" t="inlineStr">
        <is>
          <t>المهارات الإدارية</t>
        </is>
      </c>
      <c r="B26" s="13" t="inlineStr">
        <is>
          <t>متابعة شئون العاملين والرواتب, إدارة العمل, اعداد الرواتب الخاصة بالعاملين, مراجعه كشوف الموردين</t>
        </is>
      </c>
    </row>
    <row r="27">
      <c r="A27" s="12" t="inlineStr">
        <is>
          <t>المهارات الشخصية</t>
        </is>
      </c>
      <c r="B27" s="13" t="inlineStr">
        <is>
          <t>تحمل المسئوليه, العمل بإتقان تحت ضغط العمل, ايجاد البديل والحل لمشاكل العمل, التعامل والتعاون مع فريق العمل, التعاون لتحقيق اهداف المنظمه</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محاسب, شئون العاملين وال HR, التسويق العقار وى التسويق االلكترونى و المبيعات</t>
        </is>
      </c>
    </row>
    <row r="31">
      <c r="A31" s="12" t="inlineStr">
        <is>
          <t>القطاعات / الصناعات</t>
        </is>
      </c>
      <c r="B31" s="13" t="inlineStr">
        <is>
          <t>المقاولات, التسويق العقاري, التسويق الالكتروني والمبيعات</t>
        </is>
      </c>
    </row>
    <row r="32">
      <c r="A32" s="12" t="inlineStr">
        <is>
          <t>الشركات السابقة</t>
        </is>
      </c>
      <c r="B32" s="13" t="inlineStr">
        <is>
          <t>شركه انوار الشرق للمقاوالت السعوديه, مكتب محاسبة بمصر, شركة الفوزان بالسعودية</t>
        </is>
      </c>
    </row>
    <row r="33">
      <c r="A33" s="12" t="inlineStr">
        <is>
          <t>الملخص المهني</t>
        </is>
      </c>
      <c r="B33" s="13" t="inlineStr">
        <is>
          <t>—</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cv mostafa elewa-1.pdf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IBRAHIM ABDELKAREEM</t>
        </is>
      </c>
    </row>
    <row r="2">
      <c r="A2" s="10">
        <f>HYPERLINK("#'الفهرس'!A1","← العودة إلى الفهرس")</f>
        <v/>
      </c>
    </row>
    <row r="4">
      <c r="A4" s="11" t="inlineStr">
        <is>
          <t>البيانات الأساسية</t>
        </is>
      </c>
    </row>
    <row r="5">
      <c r="A5" s="12" t="inlineStr">
        <is>
          <t>الكود</t>
        </is>
      </c>
      <c r="B5" s="13" t="inlineStr">
        <is>
          <t>CAND-2026-009</t>
        </is>
      </c>
    </row>
    <row r="6">
      <c r="A6" s="12" t="inlineStr">
        <is>
          <t>الاسم الكامل</t>
        </is>
      </c>
      <c r="B6" s="13" t="inlineStr">
        <is>
          <t>IBRAHIM ABDELKAREEM</t>
        </is>
      </c>
    </row>
    <row r="7">
      <c r="A7" s="12" t="inlineStr">
        <is>
          <t>البريد الإلكتروني</t>
        </is>
      </c>
      <c r="B7" s="13" t="inlineStr">
        <is>
          <t>Ibrahim.karim012@yahoo.com</t>
        </is>
      </c>
    </row>
    <row r="8">
      <c r="A8" s="12" t="inlineStr">
        <is>
          <t>الهاتف</t>
        </is>
      </c>
      <c r="B8" s="13" t="inlineStr">
        <is>
          <t>01223189705</t>
        </is>
      </c>
    </row>
    <row r="9">
      <c r="A9" s="12" t="inlineStr">
        <is>
          <t>العمر</t>
        </is>
      </c>
      <c r="B9" s="13" t="inlineStr">
        <is>
          <t>—</t>
        </is>
      </c>
    </row>
    <row r="10">
      <c r="A10" s="12" t="inlineStr">
        <is>
          <t>لينكدإن</t>
        </is>
      </c>
      <c r="B10" s="13" t="inlineStr">
        <is>
          <t>—</t>
        </is>
      </c>
    </row>
    <row r="11">
      <c r="A11" s="12" t="inlineStr">
        <is>
          <t>محل الإقامة</t>
        </is>
      </c>
      <c r="B11" s="13" t="inlineStr">
        <is>
          <t>New Cairo,Cairo</t>
        </is>
      </c>
    </row>
    <row r="12">
      <c r="A12" s="12" t="inlineStr">
        <is>
          <t>الوظيفة الحالية</t>
        </is>
      </c>
      <c r="B12" s="13" t="inlineStr">
        <is>
          <t>Sales and Marketing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34.7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t>
        </is>
      </c>
    </row>
    <row r="23">
      <c r="A23" s="12" t="inlineStr">
        <is>
          <t>المؤهل العلمي</t>
        </is>
      </c>
      <c r="B23" s="13" t="inlineStr">
        <is>
          <t>Bachelor of Science in Chemistry — Chemistry — Ain Shams University</t>
        </is>
      </c>
    </row>
    <row r="24">
      <c r="A24" s="12" t="inlineStr">
        <is>
          <t>المهارات الفنية</t>
        </is>
      </c>
      <c r="B24" s="13" t="inlineStr">
        <is>
          <t>Sales Management, Marketing Management, Business Development, Market Expansion, Customer Relationship Management, Strategic Marketing, Strategic Sales Planning, Key Account Management, Distribution Network Development, Market Analysis, Competitive Strategy, Customer Retention</t>
        </is>
      </c>
    </row>
    <row r="25">
      <c r="A25" s="12" t="inlineStr">
        <is>
          <t>مهارات الحاسب</t>
        </is>
      </c>
      <c r="B25" s="13" t="inlineStr">
        <is>
          <t>—</t>
        </is>
      </c>
    </row>
    <row r="26">
      <c r="A26" s="12" t="inlineStr">
        <is>
          <t>المهارات الإدارية</t>
        </is>
      </c>
      <c r="B26" s="13" t="inlineStr">
        <is>
          <t>Sales Team Leadership, Commercial Agreements Negotiation, Partnership Building</t>
        </is>
      </c>
    </row>
    <row r="27">
      <c r="A27" s="12" t="inlineStr">
        <is>
          <t>المهارات الشخصية</t>
        </is>
      </c>
      <c r="B27" s="13" t="inlineStr">
        <is>
          <t>Leadership, Negotiation, Relationship Building</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Sales and Marketing Manager</t>
        </is>
      </c>
    </row>
    <row r="31">
      <c r="A31" s="12" t="inlineStr">
        <is>
          <t>القطاعات / الصناعات</t>
        </is>
      </c>
      <c r="B31" s="13" t="inlineStr">
        <is>
          <t>Plastic Pipe Manufacturing, Industrial Sector</t>
        </is>
      </c>
    </row>
    <row r="32">
      <c r="A32" s="12" t="inlineStr">
        <is>
          <t>الشركات السابقة</t>
        </is>
      </c>
      <c r="B32" s="13" t="inlineStr">
        <is>
          <t>AL MASRIA PIPE, WADI DEGLA, INTERPLAST, MISR EL-HEGAZ PLASTIC PIPES MANUFACTURING COMPANY, SLOAN PLASTIC PIPES MANUFACTURING COMPANY</t>
        </is>
      </c>
    </row>
    <row r="33">
      <c r="A33" s="12" t="inlineStr">
        <is>
          <t>الملخص المهني</t>
        </is>
      </c>
      <c r="B33" s="13" t="inlineStr">
        <is>
          <t>Results-driven Sales and Marketing Manager with more than 30 years of experience in the plastic pipe manufacturing industry. Extensive expertise in sales leadership, business development, market expansion, customer relationship management, and strategic marketing. Proven ability to drive revenue growth and build long-term partnerships across the industrial sector.</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IBRAHIM ABDELKAREEM.pdf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MOHAMED MAHFOUZ MOHAMED</t>
        </is>
      </c>
    </row>
    <row r="2">
      <c r="A2" s="10">
        <f>HYPERLINK("#'الفهرس'!A1","← العودة إلى الفهرس")</f>
        <v/>
      </c>
    </row>
    <row r="4">
      <c r="A4" s="11" t="inlineStr">
        <is>
          <t>البيانات الأساسية</t>
        </is>
      </c>
    </row>
    <row r="5">
      <c r="A5" s="12" t="inlineStr">
        <is>
          <t>الكود</t>
        </is>
      </c>
      <c r="B5" s="13" t="inlineStr">
        <is>
          <t>CAND-2026-010</t>
        </is>
      </c>
    </row>
    <row r="6">
      <c r="A6" s="12" t="inlineStr">
        <is>
          <t>الاسم الكامل</t>
        </is>
      </c>
      <c r="B6" s="13" t="inlineStr">
        <is>
          <t>MOHAMED MAHFOUZ MOHAMED</t>
        </is>
      </c>
    </row>
    <row r="7">
      <c r="A7" s="12" t="inlineStr">
        <is>
          <t>البريد الإلكتروني</t>
        </is>
      </c>
      <c r="B7" s="13" t="inlineStr">
        <is>
          <t>moh.mahfouz@gmail.com</t>
        </is>
      </c>
    </row>
    <row r="8">
      <c r="A8" s="12" t="inlineStr">
        <is>
          <t>الهاتف</t>
        </is>
      </c>
      <c r="B8" s="13" t="inlineStr">
        <is>
          <t>'+20-10-2273-5356</t>
        </is>
      </c>
    </row>
    <row r="9">
      <c r="A9" s="12" t="inlineStr">
        <is>
          <t>العمر</t>
        </is>
      </c>
      <c r="B9" s="13" t="inlineStr">
        <is>
          <t>—</t>
        </is>
      </c>
    </row>
    <row r="10">
      <c r="A10" s="12" t="inlineStr">
        <is>
          <t>لينكدإن</t>
        </is>
      </c>
      <c r="B10" s="13" t="inlineStr">
        <is>
          <t>—</t>
        </is>
      </c>
    </row>
    <row r="11">
      <c r="A11" s="12" t="inlineStr">
        <is>
          <t>محل الإقامة</t>
        </is>
      </c>
      <c r="B11" s="13" t="inlineStr">
        <is>
          <t>Zagazig, El-Sharkya, Egypt</t>
        </is>
      </c>
    </row>
    <row r="12">
      <c r="A12" s="12" t="inlineStr">
        <is>
          <t>الوظيفة الحالية</t>
        </is>
      </c>
      <c r="B12" s="13" t="inlineStr">
        <is>
          <t>PLANT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27.7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English (Very Good – Written &amp; Spoken)</t>
        </is>
      </c>
    </row>
    <row r="23">
      <c r="A23" s="12" t="inlineStr">
        <is>
          <t>المؤهل العلمي</t>
        </is>
      </c>
      <c r="B23" s="13" t="inlineStr">
        <is>
          <t>BACHELOR OF LAW — Law — Zagazig University, Egypt; Professional Diploma — HR Management — CAME; Professional Diploma — HR Management — Zagazig University; Professional Diploma — HR Management — ITEP</t>
        </is>
      </c>
    </row>
    <row r="24">
      <c r="A24" s="12" t="inlineStr">
        <is>
          <t>المهارات الفنية</t>
        </is>
      </c>
      <c r="B24" s="13" t="inlineStr">
        <is>
          <t>Factory Operations, Production Alignment, Capacity Planning, Cost Optimization, EHS &amp; Quality Compliance, Organizational Restructuring, HR Setup &amp; Framework Design, Job Grading &amp; Compensation, Policy &amp; Procedure Manuals, Full-scale Recruitment, Mass Hiring, Onboarding &amp; Integration, Workforce Planning &amp; Budgeting, Egyptian Labor Law, Government Relations, Social Insurance, Facility &amp; Industrial Administration, Payroll Administration, Performance Management, Succession Planning</t>
        </is>
      </c>
    </row>
    <row r="25">
      <c r="A25" s="12" t="inlineStr">
        <is>
          <t>مهارات الحاسب</t>
        </is>
      </c>
      <c r="B25" s="13" t="inlineStr">
        <is>
          <t>MS Office, Word, Excel, PowerPoint, Outlook, HRIS Systems, Payroll Software</t>
        </is>
      </c>
    </row>
    <row r="26">
      <c r="A26" s="12" t="inlineStr">
        <is>
          <t>المهارات الإدارية</t>
        </is>
      </c>
      <c r="B26" s="13" t="inlineStr">
        <is>
          <t>Factory Operations Management, Organizational Restructuring, Talent Acquisition, Workforce Planning, Policy Formulation, Employee Relations, Performance Management, Training and Development</t>
        </is>
      </c>
    </row>
    <row r="27">
      <c r="A27" s="12" t="inlineStr">
        <is>
          <t>المهارات الشخصية</t>
        </is>
      </c>
      <c r="B27" s="13" t="inlineStr">
        <is>
          <t>Leadership, Change Management, Strategic Planning, Problem Solving, Communication</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PLANT MANAGER, RESTRUCTURING &amp; HR CONSULTANT, HR &amp; ADMINISTRATION MANAGER, HR &amp; ADMINISTRATION SECTION HEAD, HR SPECIALIST, HR GENERALIST, LAWYER UNDER TRAINING</t>
        </is>
      </c>
    </row>
    <row r="31">
      <c r="A31" s="12" t="inlineStr">
        <is>
          <t>القطاعات / الصناعات</t>
        </is>
      </c>
      <c r="B31" s="13" t="inlineStr">
        <is>
          <t>Industrial, Manufacturing, Food Processing, Plastic, Ceramics, Porcelain</t>
        </is>
      </c>
    </row>
    <row r="32">
      <c r="A32" s="12" t="inlineStr">
        <is>
          <t>الشركات السابقة</t>
        </is>
      </c>
      <c r="B32" s="13" t="inlineStr">
        <is>
          <t>AL-AMIRA FOR FOOD INDUSTRIES, MISR INTERNATIONAL FOR PLASTIC INDUSTRIES, DAYEM GROUP FOR FOOD INDUSTRIES, CERAMICA PLATINO GROUP FOR CERAMICS &amp; PORCELAIN, MOG GROUP, TECHNOPOL EGYPT, MILLIARTEX, NOT SPECIFIED</t>
        </is>
      </c>
    </row>
    <row r="33">
      <c r="A33" s="12" t="inlineStr">
        <is>
          <t>الملخص المهني</t>
        </is>
      </c>
      <c r="B33" s="13" t="inlineStr">
        <is>
          <t>Results-driven Plant Manager, HR &amp; Management Consultant with 25+ years of extensive leadership experience across industrial, manufacturing, food processing, and plastic industries. Proven expertise in full plant operations, organizational restructuring, establishing HR and operational frameworks from the ground up, talent acquisition, supply chain oversight, and labor law compliance.</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Mohamed Mahfouz Plant Manager.pdf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ELSAYED ABDEL MONEM ELSAYED</t>
        </is>
      </c>
    </row>
    <row r="2">
      <c r="A2" s="10">
        <f>HYPERLINK("#'الفهرس'!A1","← العودة إلى الفهرس")</f>
        <v/>
      </c>
    </row>
    <row r="4">
      <c r="A4" s="11" t="inlineStr">
        <is>
          <t>البيانات الأساسية</t>
        </is>
      </c>
    </row>
    <row r="5">
      <c r="A5" s="12" t="inlineStr">
        <is>
          <t>الكود</t>
        </is>
      </c>
      <c r="B5" s="13" t="inlineStr">
        <is>
          <t>CAND-2026-011</t>
        </is>
      </c>
    </row>
    <row r="6">
      <c r="A6" s="12" t="inlineStr">
        <is>
          <t>الاسم الكامل</t>
        </is>
      </c>
      <c r="B6" s="13" t="inlineStr">
        <is>
          <t>ELSAYED ABDEL MONEM ELSAYED</t>
        </is>
      </c>
    </row>
    <row r="7">
      <c r="A7" s="12" t="inlineStr">
        <is>
          <t>البريد الإلكتروني</t>
        </is>
      </c>
      <c r="B7" s="13" t="inlineStr">
        <is>
          <t>sayedmonem61@yahoo.com</t>
        </is>
      </c>
    </row>
    <row r="8">
      <c r="A8" s="12" t="inlineStr">
        <is>
          <t>الهاتف</t>
        </is>
      </c>
      <c r="B8" s="13" t="inlineStr">
        <is>
          <t>01145927700</t>
        </is>
      </c>
    </row>
    <row r="9">
      <c r="A9" s="12" t="inlineStr">
        <is>
          <t>العمر</t>
        </is>
      </c>
      <c r="B9" s="13" t="inlineStr">
        <is>
          <t>—</t>
        </is>
      </c>
    </row>
    <row r="10">
      <c r="A10" s="12" t="inlineStr">
        <is>
          <t>لينكدإن</t>
        </is>
      </c>
      <c r="B10" s="13" t="inlineStr">
        <is>
          <t>—</t>
        </is>
      </c>
    </row>
    <row r="11">
      <c r="A11" s="12" t="inlineStr">
        <is>
          <t>محل الإقامة</t>
        </is>
      </c>
      <c r="B11" s="13" t="inlineStr">
        <is>
          <t>El Obour City, Qalyubia, Egypt</t>
        </is>
      </c>
    </row>
    <row r="12">
      <c r="A12" s="12" t="inlineStr">
        <is>
          <t>الوظيفة الحالية</t>
        </is>
      </c>
      <c r="B12" s="13" t="inlineStr">
        <is>
          <t>Factory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30.7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Married</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English (Very Good)</t>
        </is>
      </c>
    </row>
    <row r="23">
      <c r="A23" s="12" t="inlineStr">
        <is>
          <t>المؤهل العلمي</t>
        </is>
      </c>
      <c r="B23" s="13" t="inlineStr">
        <is>
          <t>Bachelor of Mechanical Power Engineering — Mechanical Power Engineering — Menoufia University, Egypt</t>
        </is>
      </c>
    </row>
    <row r="24">
      <c r="A24" s="12" t="inlineStr">
        <is>
          <t>المهارات الفنية</t>
        </is>
      </c>
      <c r="B24" s="13" t="inlineStr">
        <is>
          <t>PET Recycling, Preventive Maintenance, Water Treatment, Pumps, Compressors, Heat Exchangers, HVAC, Fire Fighting Systems</t>
        </is>
      </c>
    </row>
    <row r="25">
      <c r="A25" s="12" t="inlineStr">
        <is>
          <t>مهارات الحاسب</t>
        </is>
      </c>
      <c r="B25" s="13" t="inlineStr">
        <is>
          <t>PLC, SCADA, Microsoft Office</t>
        </is>
      </c>
    </row>
    <row r="26">
      <c r="A26" s="12" t="inlineStr">
        <is>
          <t>المهارات الإدارية</t>
        </is>
      </c>
      <c r="B26" s="13" t="inlineStr">
        <is>
          <t>Factory Management, Manufacturing Operations, Production Planning, Continuous Improvement, Team Leadership, Cost Control, Budget Management, Quality Management</t>
        </is>
      </c>
    </row>
    <row r="27">
      <c r="A27" s="12" t="inlineStr">
        <is>
          <t>المهارات الشخصية</t>
        </is>
      </c>
      <c r="B27" s="13" t="inlineStr">
        <is>
          <t>Leadership, Problem Solving, Cross-functional Coordination</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Factory Manager, Executive Manager / Chief Maintenance Manager, Executive Manager, Maintenance Manager, Operation &amp; Maintenance Manager, Mechanical Construction Manager, Site Manager – Operation &amp; Maintenance, Assistant Production &amp; Maintenance Manager, Chief Mechanical Engineer, Mechanical Engineer</t>
        </is>
      </c>
    </row>
    <row r="31">
      <c r="A31" s="12" t="inlineStr">
        <is>
          <t>القطاعات / الصناعات</t>
        </is>
      </c>
      <c r="B31" s="13" t="inlineStr">
        <is>
          <t>Plastic Manufacturing, Manufacturing, Industrial Operations</t>
        </is>
      </c>
    </row>
    <row r="32">
      <c r="A32" s="12" t="inlineStr">
        <is>
          <t>الشركات السابقة</t>
        </is>
      </c>
      <c r="B32" s="13" t="inlineStr">
        <is>
          <t>Plastic Recycling Factory (PET Production), EMEC Company — National Bank of Egypt Project, EMEC Company, Domiatec Group, Syrian Italian Company, Paper Factory – Beni Suef, OMC Company — Dammam University Project, Saudi Arabia, SERACO Company — King Fahd Specialist Hospital, Saudi Arabia, Saad Group — Saad Specialist Hospital, Saudi Arabia, Elobour Company, Super Plast Company</t>
        </is>
      </c>
    </row>
    <row r="33">
      <c r="A33" s="12" t="inlineStr">
        <is>
          <t>الملخص المهني</t>
        </is>
      </c>
      <c r="B33" s="13" t="inlineStr">
        <is>
          <t>Factory Manager and Mechanical Engineering Professional with over 30 years of experience in manufacturing, industrial operations, production, maintenance, and engineering management across Egypt and Saudi Arabia. Proven success in leading manufacturing facilities, improving production efficiency, reducing downtime, optimizing operational costs, and managing multidisciplinary teams. Strong expertise in PET plastic recycling, production planning, preventive maintenance, quality systems, and continuous process improvement.</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ELSAYED ABDEL MONEM CV(FACTORY MANAGER).pdf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Yousri Mohamed Saber Mahmoud</t>
        </is>
      </c>
    </row>
    <row r="2">
      <c r="A2" s="10">
        <f>HYPERLINK("#'الفهرس'!A1","← العودة إلى الفهرس")</f>
        <v/>
      </c>
    </row>
    <row r="4">
      <c r="A4" s="11" t="inlineStr">
        <is>
          <t>البيانات الأساسية</t>
        </is>
      </c>
    </row>
    <row r="5">
      <c r="A5" s="12" t="inlineStr">
        <is>
          <t>الكود</t>
        </is>
      </c>
      <c r="B5" s="13" t="inlineStr">
        <is>
          <t>CAND-2026-012</t>
        </is>
      </c>
    </row>
    <row r="6">
      <c r="A6" s="12" t="inlineStr">
        <is>
          <t>الاسم الكامل</t>
        </is>
      </c>
      <c r="B6" s="13" t="inlineStr">
        <is>
          <t>Yousri Mohamed Saber Mahmoud</t>
        </is>
      </c>
    </row>
    <row r="7">
      <c r="A7" s="12" t="inlineStr">
        <is>
          <t>البريد الإلكتروني</t>
        </is>
      </c>
      <c r="B7" s="13" t="inlineStr">
        <is>
          <t>yousrimohamed2025@gmail.com</t>
        </is>
      </c>
    </row>
    <row r="8">
      <c r="A8" s="12" t="inlineStr">
        <is>
          <t>الهاتف</t>
        </is>
      </c>
      <c r="B8" s="13" t="inlineStr">
        <is>
          <t>01099898703</t>
        </is>
      </c>
    </row>
    <row r="9">
      <c r="A9" s="12" t="inlineStr">
        <is>
          <t>العمر</t>
        </is>
      </c>
      <c r="B9" s="13" t="inlineStr">
        <is>
          <t>—</t>
        </is>
      </c>
    </row>
    <row r="10">
      <c r="A10" s="12" t="inlineStr">
        <is>
          <t>لينكدإن</t>
        </is>
      </c>
      <c r="B10" s="13" t="inlineStr">
        <is>
          <t>—</t>
        </is>
      </c>
    </row>
    <row r="11">
      <c r="A11" s="12" t="inlineStr">
        <is>
          <t>محل الإقامة</t>
        </is>
      </c>
      <c r="B11" s="13" t="inlineStr">
        <is>
          <t>—</t>
        </is>
      </c>
    </row>
    <row r="12">
      <c r="A12" s="12" t="inlineStr">
        <is>
          <t>الوظيفة الحالية</t>
        </is>
      </c>
      <c r="B12" s="13" t="inlineStr">
        <is>
          <t>Quality Inspector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9.5</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English</t>
        </is>
      </c>
    </row>
    <row r="23">
      <c r="A23" s="12" t="inlineStr">
        <is>
          <t>المؤهل العلمي</t>
        </is>
      </c>
      <c r="B23" s="13" t="inlineStr">
        <is>
          <t>Bachelor of Commerce — Accounting — Al-Zaqaziq University</t>
        </is>
      </c>
    </row>
    <row r="24">
      <c r="A24" s="12" t="inlineStr">
        <is>
          <t>المهارات الفنية</t>
        </is>
      </c>
      <c r="B24" s="13" t="inlineStr">
        <is>
          <t>Cost accounting, Daily closing, Bank reconciliations, Review of customer and supplier accounts, Financial analysis, Monitor product quality, Conduct inspections and tests, Document inspection results</t>
        </is>
      </c>
    </row>
    <row r="25">
      <c r="A25" s="12" t="inlineStr">
        <is>
          <t>مهارات الحاسب</t>
        </is>
      </c>
      <c r="B25" s="13" t="inlineStr">
        <is>
          <t>Microsoft Word, Excel, PowerPoint, ERP</t>
        </is>
      </c>
    </row>
    <row r="26">
      <c r="A26" s="12" t="inlineStr">
        <is>
          <t>المهارات الإدارية</t>
        </is>
      </c>
      <c r="B26" s="13" t="inlineStr">
        <is>
          <t>Developing and implementing modern accounting methods, Collaborate with production and engineering teams</t>
        </is>
      </c>
    </row>
    <row r="27">
      <c r="A27" s="12" t="inlineStr">
        <is>
          <t>المهارات الشخصية</t>
        </is>
      </c>
      <c r="B27" s="13" t="inlineStr">
        <is>
          <t>Teamwork, Work under pressure</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Cost Accountant, General Accountant, Senior Executive Assistant, Quality Inspector</t>
        </is>
      </c>
    </row>
    <row r="31">
      <c r="A31" s="12" t="inlineStr">
        <is>
          <t>القطاعات / الصناعات</t>
        </is>
      </c>
      <c r="B31" s="13" t="inlineStr">
        <is>
          <t>Restaurant, Electricity Transmission, Automotive Wiring Harnesses</t>
        </is>
      </c>
    </row>
    <row r="32">
      <c r="A32" s="12" t="inlineStr">
        <is>
          <t>الشركات السابقة</t>
        </is>
      </c>
      <c r="B32" s="13" t="inlineStr">
        <is>
          <t>Stereo Restaurant, Egyptian Electricity Transmission Company, Siemens Trafo, Sumitomo Wiring Systems (Automotive Wiring Harnesses)</t>
        </is>
      </c>
    </row>
    <row r="33">
      <c r="A33" s="12" t="inlineStr">
        <is>
          <t>الملخص المهني</t>
        </is>
      </c>
      <c r="B33" s="13" t="inlineStr">
        <is>
          <t>General accountant with over 7 years of experience in daily closing, bank reconciliations, reviewing customer and supplier accounts, and preparing reports. Skilled in financial analysis and preparing performance reports. Able to work effectively in a team, under pressure, and has the ability to develop and introduce modern accounting methods.</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Yousri_English_CV_Updated.pdf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Ahmed Saeed Abd Elhamed Badawy</t>
        </is>
      </c>
    </row>
    <row r="2">
      <c r="A2" s="10">
        <f>HYPERLINK("#'الفهرس'!A1","← العودة إلى الفهرس")</f>
        <v/>
      </c>
    </row>
    <row r="4">
      <c r="A4" s="11" t="inlineStr">
        <is>
          <t>البيانات الأساسية</t>
        </is>
      </c>
    </row>
    <row r="5">
      <c r="A5" s="12" t="inlineStr">
        <is>
          <t>الكود</t>
        </is>
      </c>
      <c r="B5" s="13" t="inlineStr">
        <is>
          <t>CAND-2026-013</t>
        </is>
      </c>
    </row>
    <row r="6">
      <c r="A6" s="12" t="inlineStr">
        <is>
          <t>الاسم الكامل</t>
        </is>
      </c>
      <c r="B6" s="13" t="inlineStr">
        <is>
          <t>Ahmed Saeed Abd Elhamed Badawy</t>
        </is>
      </c>
    </row>
    <row r="7">
      <c r="A7" s="12" t="inlineStr">
        <is>
          <t>البريد الإلكتروني</t>
        </is>
      </c>
      <c r="B7" s="13" t="inlineStr">
        <is>
          <t>badawyahmed954@gmail.com</t>
        </is>
      </c>
    </row>
    <row r="8">
      <c r="A8" s="12" t="inlineStr">
        <is>
          <t>الهاتف</t>
        </is>
      </c>
      <c r="B8" s="13" t="inlineStr">
        <is>
          <t>01013163982</t>
        </is>
      </c>
    </row>
    <row r="9">
      <c r="A9" s="12" t="inlineStr">
        <is>
          <t>العمر</t>
        </is>
      </c>
      <c r="B9" s="13" t="n">
        <v>39</v>
      </c>
    </row>
    <row r="10">
      <c r="A10" s="12" t="inlineStr">
        <is>
          <t>لينكدإن</t>
        </is>
      </c>
      <c r="B10" s="13" t="inlineStr">
        <is>
          <t>—</t>
        </is>
      </c>
    </row>
    <row r="11">
      <c r="A11" s="12" t="inlineStr">
        <is>
          <t>محل الإقامة</t>
        </is>
      </c>
      <c r="B11" s="13" t="inlineStr">
        <is>
          <t>Sadat City - Menoufia</t>
        </is>
      </c>
    </row>
    <row r="12">
      <c r="A12" s="12" t="inlineStr">
        <is>
          <t>الوظيفة الحالية</t>
        </is>
      </c>
      <c r="B12" s="13" t="inlineStr">
        <is>
          <t>Maintenance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14</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(Mother tongue), English (Excellent)</t>
        </is>
      </c>
    </row>
    <row r="23">
      <c r="A23" s="12" t="inlineStr">
        <is>
          <t>المؤهل العلمي</t>
        </is>
      </c>
      <c r="B23" s="13" t="inlineStr">
        <is>
          <t>Bachelor of Engineering — Mechanical power — Aswan University</t>
        </is>
      </c>
    </row>
    <row r="24">
      <c r="A24" s="12" t="inlineStr">
        <is>
          <t>المهارات الفنية</t>
        </is>
      </c>
      <c r="B24" s="13" t="inlineStr">
        <is>
          <t>Equipment and machinery repair, Preventing malfunctions, Periodical maintenance, Planned Preventative Maintenance (PPM), Weld Technology, Hydraulic and Pneumatic Systems</t>
        </is>
      </c>
    </row>
    <row r="25">
      <c r="A25" s="12" t="inlineStr">
        <is>
          <t>مهارات الحاسب</t>
        </is>
      </c>
      <c r="B25" s="13" t="inlineStr">
        <is>
          <t>Microsoft Office applications</t>
        </is>
      </c>
    </row>
    <row r="26">
      <c r="A26" s="12" t="inlineStr">
        <is>
          <t>المهارات الإدارية</t>
        </is>
      </c>
      <c r="B26" s="13" t="inlineStr">
        <is>
          <t>Strategy and policy implementation, Project management, Team delegation and management, Maintenance scheduling, Engineering data systems audit, Downtime reduction, Reporting and presentation</t>
        </is>
      </c>
    </row>
    <row r="27">
      <c r="A27" s="12" t="inlineStr">
        <is>
          <t>المهارات الشخصية</t>
        </is>
      </c>
      <c r="B27" s="13" t="inlineStr">
        <is>
          <t>Leadership, Continuous training and development</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Maintenance Manager, Maintenance Manager and consultant, Maintenance engineer</t>
        </is>
      </c>
    </row>
    <row r="31">
      <c r="A31" s="12" t="inlineStr">
        <is>
          <t>القطاعات / الصناعات</t>
        </is>
      </c>
      <c r="B31" s="13" t="inlineStr">
        <is>
          <t>Plastics, Water Treatment, Electricity Production and Distribution</t>
        </is>
      </c>
    </row>
    <row r="32">
      <c r="A32" s="12" t="inlineStr">
        <is>
          <t>الشركات السابقة</t>
        </is>
      </c>
      <c r="B32" s="13" t="inlineStr">
        <is>
          <t>Green Valley pipes, Water treatment plant, Nile pipe, G M pipes, El Alamia pipes, El Nubaria Electricity Produce And Distribution Station</t>
        </is>
      </c>
    </row>
    <row r="33">
      <c r="A33" s="12" t="inlineStr">
        <is>
          <t>الملخص المهني</t>
        </is>
      </c>
      <c r="B33" s="13" t="inlineStr">
        <is>
          <t>Maintenance engineer with more than 14 years of experience in the field of plastics and equipment and machinery repair. Mechanics in various industries with high efficiency and preventing malfunctions by performing maintenance Periodical</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سي_في (1)(3)(15)(1).pdf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Sohail Mohamed Bakr</t>
        </is>
      </c>
    </row>
    <row r="2">
      <c r="A2" s="10">
        <f>HYPERLINK("#'الفهرس'!A1","← العودة إلى الفهرس")</f>
        <v/>
      </c>
    </row>
    <row r="4">
      <c r="A4" s="11" t="inlineStr">
        <is>
          <t>البيانات الأساسية</t>
        </is>
      </c>
    </row>
    <row r="5">
      <c r="A5" s="12" t="inlineStr">
        <is>
          <t>الكود</t>
        </is>
      </c>
      <c r="B5" s="13" t="inlineStr">
        <is>
          <t>CAND-2026-014</t>
        </is>
      </c>
    </row>
    <row r="6">
      <c r="A6" s="12" t="inlineStr">
        <is>
          <t>الاسم الكامل</t>
        </is>
      </c>
      <c r="B6" s="13" t="inlineStr">
        <is>
          <t>Sohail Mohamed Bakr</t>
        </is>
      </c>
    </row>
    <row r="7">
      <c r="A7" s="12" t="inlineStr">
        <is>
          <t>البريد الإلكتروني</t>
        </is>
      </c>
      <c r="B7" s="13" t="inlineStr">
        <is>
          <t>sohail.mohamed@hotmail.com</t>
        </is>
      </c>
    </row>
    <row r="8">
      <c r="A8" s="12" t="inlineStr">
        <is>
          <t>الهاتف</t>
        </is>
      </c>
      <c r="B8" s="13" t="inlineStr">
        <is>
          <t>01026061864</t>
        </is>
      </c>
    </row>
    <row r="9">
      <c r="A9" s="12" t="inlineStr">
        <is>
          <t>العمر</t>
        </is>
      </c>
      <c r="B9" s="13" t="n">
        <v>31</v>
      </c>
    </row>
    <row r="10">
      <c r="A10" s="12" t="inlineStr">
        <is>
          <t>لينكدإن</t>
        </is>
      </c>
      <c r="B10" s="13" t="inlineStr">
        <is>
          <t>—</t>
        </is>
      </c>
    </row>
    <row r="11">
      <c r="A11" s="12" t="inlineStr">
        <is>
          <t>محل الإقامة</t>
        </is>
      </c>
      <c r="B11" s="13" t="inlineStr">
        <is>
          <t>10th Of Ramadan</t>
        </is>
      </c>
    </row>
    <row r="12">
      <c r="A12" s="12" t="inlineStr">
        <is>
          <t>الوظيفة الحالية</t>
        </is>
      </c>
      <c r="B12" s="13" t="inlineStr">
        <is>
          <t>Production Section Head</t>
        </is>
      </c>
    </row>
    <row r="13">
      <c r="A13" s="12" t="inlineStr">
        <is>
          <t>الوظيفة المتقدم لها</t>
        </is>
      </c>
      <c r="B13" s="13" t="inlineStr">
        <is>
          <t>—</t>
        </is>
      </c>
    </row>
    <row r="14">
      <c r="A14" s="12" t="inlineStr">
        <is>
          <t>الحالة</t>
        </is>
      </c>
      <c r="B14" s="13" t="inlineStr">
        <is>
          <t>Screening</t>
        </is>
      </c>
    </row>
    <row r="15">
      <c r="A15" s="12" t="inlineStr">
        <is>
          <t>التقييم</t>
        </is>
      </c>
      <c r="B15" s="13" t="inlineStr">
        <is>
          <t>—</t>
        </is>
      </c>
    </row>
    <row r="16">
      <c r="A16" s="12" t="inlineStr">
        <is>
          <t>سنوات الخبرة</t>
        </is>
      </c>
      <c r="B16" s="13" t="n">
        <v>4.4</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t>
        </is>
      </c>
    </row>
    <row r="23">
      <c r="A23" s="12" t="inlineStr">
        <is>
          <t>المؤهل العلمي</t>
        </is>
      </c>
      <c r="B23" s="13" t="inlineStr">
        <is>
          <t>BSc — Mechanical Production &amp; Design — Menoﬁa University</t>
        </is>
      </c>
    </row>
    <row r="24">
      <c r="A24" s="12" t="inlineStr">
        <is>
          <t>المهارات الفنية</t>
        </is>
      </c>
      <c r="B24" s="13" t="inlineStr">
        <is>
          <t>Injection Molding, Assembly, Sheet Metal, Spot Welding, Co2 Line, Thermoset Materials, Thermo Plastic</t>
        </is>
      </c>
    </row>
    <row r="25">
      <c r="A25" s="12" t="inlineStr">
        <is>
          <t>مهارات الحاسب</t>
        </is>
      </c>
      <c r="B25" s="13" t="inlineStr">
        <is>
          <t>SOLIDWORKS</t>
        </is>
      </c>
    </row>
    <row r="26">
      <c r="A26" s="12" t="inlineStr">
        <is>
          <t>المهارات الإدارية</t>
        </is>
      </c>
      <c r="B26" s="13" t="inlineStr">
        <is>
          <t>Production Planning, Team Training, System Building, Process Coordination, Equipment Procurement, Supplier Management</t>
        </is>
      </c>
    </row>
    <row r="27">
      <c r="A27" s="12" t="inlineStr">
        <is>
          <t>المهارات الشخصية</t>
        </is>
      </c>
      <c r="B27" s="13" t="inlineStr">
        <is>
          <t>Leadership, Problem Solving, Cross-functional Coordination, Negotiation</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Section Head, Senior Production Engineer, Production &amp; Operation Engineer, Production Engineer</t>
        </is>
      </c>
    </row>
    <row r="31">
      <c r="A31" s="12" t="inlineStr">
        <is>
          <t>القطاعات / الصناعات</t>
        </is>
      </c>
      <c r="B31" s="13" t="inlineStr">
        <is>
          <t>Electrical Industries, Plastic Manufacturing, Automotive Industry</t>
        </is>
      </c>
    </row>
    <row r="32">
      <c r="A32" s="12" t="inlineStr">
        <is>
          <t>الشركات السابقة</t>
        </is>
      </c>
      <c r="B32" s="13" t="inlineStr">
        <is>
          <t>Nefertari-JM for Electrical Industries, Elsalam For Plastic Inds. (Electrolux,Bosch And Fresh Suppliers), Alkersh Plast For Automotive Indu. (Kasrawy,Kinglong,Suzuki Supplier), Industrial Control (General Motors Supplier) (6th Of October)</t>
        </is>
      </c>
    </row>
    <row r="33">
      <c r="A33" s="12" t="inlineStr">
        <is>
          <t>الملخص المهني</t>
        </is>
      </c>
      <c r="B33" s="13" t="inlineStr">
        <is>
          <t>Experienced in all aspects of plastic injection molding, including machines, materials, operations, and molds.</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Sohail Mohamed - Production Engineer.pdf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صلاح عبد العزيز</t>
        </is>
      </c>
    </row>
    <row r="2">
      <c r="A2" s="10">
        <f>HYPERLINK("#'الفهرس'!A1","← العودة إلى الفهرس")</f>
        <v/>
      </c>
    </row>
    <row r="4">
      <c r="A4" s="11" t="inlineStr">
        <is>
          <t>البيانات الأساسية</t>
        </is>
      </c>
    </row>
    <row r="5">
      <c r="A5" s="12" t="inlineStr">
        <is>
          <t>الكود</t>
        </is>
      </c>
      <c r="B5" s="13" t="inlineStr">
        <is>
          <t>CAND-2026-015</t>
        </is>
      </c>
    </row>
    <row r="6">
      <c r="A6" s="12" t="inlineStr">
        <is>
          <t>الاسم الكامل</t>
        </is>
      </c>
      <c r="B6" s="13" t="inlineStr">
        <is>
          <t>صلاح عبد العزيز</t>
        </is>
      </c>
    </row>
    <row r="7">
      <c r="A7" s="12" t="inlineStr">
        <is>
          <t>البريد الإلكتروني</t>
        </is>
      </c>
      <c r="B7" s="13" t="inlineStr">
        <is>
          <t>—</t>
        </is>
      </c>
    </row>
    <row r="8">
      <c r="A8" s="12" t="inlineStr">
        <is>
          <t>الهاتف</t>
        </is>
      </c>
      <c r="B8" s="13" t="inlineStr">
        <is>
          <t>—</t>
        </is>
      </c>
    </row>
    <row r="9">
      <c r="A9" s="12" t="inlineStr">
        <is>
          <t>العمر</t>
        </is>
      </c>
      <c r="B9" s="13" t="n">
        <v>46</v>
      </c>
    </row>
    <row r="10">
      <c r="A10" s="12" t="inlineStr">
        <is>
          <t>لينكدإن</t>
        </is>
      </c>
      <c r="B10" s="13" t="inlineStr">
        <is>
          <t>—</t>
        </is>
      </c>
    </row>
    <row r="11">
      <c r="A11" s="12" t="inlineStr">
        <is>
          <t>محل الإقامة</t>
        </is>
      </c>
      <c r="B11" s="13" t="inlineStr">
        <is>
          <t>مدينة العاشر من رمضان</t>
        </is>
      </c>
    </row>
    <row r="12">
      <c r="A12" s="12" t="inlineStr">
        <is>
          <t>الوظيفة الحالية</t>
        </is>
      </c>
      <c r="B12" s="13" t="inlineStr">
        <is>
          <t>مدير إنتاج مصانع بلاستيك</t>
        </is>
      </c>
    </row>
    <row r="13">
      <c r="A13" s="12" t="inlineStr">
        <is>
          <t>الوظيفة المتقدم لها</t>
        </is>
      </c>
      <c r="B13" s="13" t="inlineStr">
        <is>
          <t>—</t>
        </is>
      </c>
    </row>
    <row r="14">
      <c r="A14" s="12" t="inlineStr">
        <is>
          <t>الحالة</t>
        </is>
      </c>
      <c r="B14" s="13" t="inlineStr">
        <is>
          <t>Screening</t>
        </is>
      </c>
    </row>
    <row r="15">
      <c r="A15" s="12" t="inlineStr">
        <is>
          <t>التقييم</t>
        </is>
      </c>
      <c r="B15" s="13" t="inlineStr">
        <is>
          <t>—</t>
        </is>
      </c>
    </row>
    <row r="16">
      <c r="A16" s="12" t="inlineStr">
        <is>
          <t>سنوات الخبرة</t>
        </is>
      </c>
      <c r="B16" s="13" t="n">
        <v>20</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t>
        </is>
      </c>
    </row>
    <row r="23">
      <c r="A23" s="12" t="inlineStr">
        <is>
          <t>المؤهل العلمي</t>
        </is>
      </c>
      <c r="B23" s="13" t="inlineStr">
        <is>
          <t>بكالوريوس — علوم - كيمياء — جامعة عين شمس</t>
        </is>
      </c>
    </row>
    <row r="24">
      <c r="A24" s="12" t="inlineStr">
        <is>
          <t>المهارات الفنية</t>
        </is>
      </c>
      <c r="B24" s="13" t="inlineStr">
        <is>
          <t>صناعة البلاستيك, إدارة خطوط الإنتاج, تشغيل وإدارة مصانع البلاستيك, صناعة البلاستيك مركب PVC, صناعة قطاعات UPVC, صناعة قطاعات WPC</t>
        </is>
      </c>
    </row>
    <row r="25">
      <c r="A25" s="12" t="inlineStr">
        <is>
          <t>مهارات الحاسب</t>
        </is>
      </c>
      <c r="B25" s="13" t="inlineStr">
        <is>
          <t>—</t>
        </is>
      </c>
    </row>
    <row r="26">
      <c r="A26" s="12" t="inlineStr">
        <is>
          <t>المهارات الإدارية</t>
        </is>
      </c>
      <c r="B26" s="13" t="inlineStr">
        <is>
          <t>إدارة العمليات الإنتاجية, رفع كفاءة الإنتاج, تقليل الفاقد, تحسين الجودة, إدارة وتطوير فرق العمل, إعداد وتنفيذ الخطط الإنتاجية, متابعة مؤشرات الأداء, تطبيق أنظمة الجودة والسلامة المهنية, حل المشكلات التشغيلية</t>
        </is>
      </c>
    </row>
    <row r="27">
      <c r="A27" s="12" t="inlineStr">
        <is>
          <t>المهارات الشخصية</t>
        </is>
      </c>
      <c r="B27" s="13" t="inlineStr">
        <is>
          <t>Problem Solving, Leadership</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مهندس إنتاج, مدير إنتاج</t>
        </is>
      </c>
    </row>
    <row r="31">
      <c r="A31" s="12" t="inlineStr">
        <is>
          <t>القطاعات / الصناعات</t>
        </is>
      </c>
      <c r="B31" s="13" t="inlineStr">
        <is>
          <t>صناعة البلاستيك</t>
        </is>
      </c>
    </row>
    <row r="32">
      <c r="A32" s="12" t="inlineStr">
        <is>
          <t>الشركات السابقة</t>
        </is>
      </c>
      <c r="B32" s="13" t="inlineStr">
        <is>
          <t>Egyplast (السويدي لصناعة البلاستيك), الوطنية لصناعة البلاستيك, النيل لصناعة البلاستيك, منازل UPVC, أمان UPVC</t>
        </is>
      </c>
    </row>
    <row r="33">
      <c r="A33" s="12" t="inlineStr">
        <is>
          <t>الملخص المهني</t>
        </is>
      </c>
      <c r="B33" s="13" t="inlineStr">
        <is>
          <t>مدير إنتاج مصانع بلاستيك بخبرة أكثر من 20 عامًا في مجال صناعة البلاستيك وإدارة المصانع وخطوط الإنتاج، مع سجل متميز في إدارة العمليات الإنتاجية ورفع الكفاءة وتطوير فرق العمل وتطبيق أنظمة الجودة.</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صلاح عبدالعزيز.txt</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MOHAMED METWALLY GOUDA ALI</t>
        </is>
      </c>
    </row>
    <row r="2">
      <c r="A2" s="10">
        <f>HYPERLINK("#'الفهرس'!A1","← العودة إلى الفهرس")</f>
        <v/>
      </c>
    </row>
    <row r="4">
      <c r="A4" s="11" t="inlineStr">
        <is>
          <t>البيانات الأساسية</t>
        </is>
      </c>
    </row>
    <row r="5">
      <c r="A5" s="12" t="inlineStr">
        <is>
          <t>الكود</t>
        </is>
      </c>
      <c r="B5" s="13" t="inlineStr">
        <is>
          <t>CAND-2026-016</t>
        </is>
      </c>
    </row>
    <row r="6">
      <c r="A6" s="12" t="inlineStr">
        <is>
          <t>الاسم الكامل</t>
        </is>
      </c>
      <c r="B6" s="13" t="inlineStr">
        <is>
          <t>MOHAMED METWALLY GOUDA ALI</t>
        </is>
      </c>
    </row>
    <row r="7">
      <c r="A7" s="12" t="inlineStr">
        <is>
          <t>البريد الإلكتروني</t>
        </is>
      </c>
      <c r="B7" s="13" t="inlineStr">
        <is>
          <t>almoslem.eng2020@gmail.com</t>
        </is>
      </c>
    </row>
    <row r="8">
      <c r="A8" s="12" t="inlineStr">
        <is>
          <t>الهاتف</t>
        </is>
      </c>
      <c r="B8" s="13" t="inlineStr">
        <is>
          <t>'+20 101 803 4166</t>
        </is>
      </c>
    </row>
    <row r="9">
      <c r="A9" s="12" t="inlineStr">
        <is>
          <t>العمر</t>
        </is>
      </c>
      <c r="B9" s="13" t="inlineStr">
        <is>
          <t>—</t>
        </is>
      </c>
    </row>
    <row r="10">
      <c r="A10" s="12" t="inlineStr">
        <is>
          <t>لينكدإن</t>
        </is>
      </c>
      <c r="B10" s="13" t="inlineStr">
        <is>
          <t>linkedin.com/in/mohamedmetwallygouda</t>
        </is>
      </c>
    </row>
    <row r="11">
      <c r="A11" s="12" t="inlineStr">
        <is>
          <t>محل الإقامة</t>
        </is>
      </c>
      <c r="B11" s="13" t="inlineStr">
        <is>
          <t>Zagazig, Egypt</t>
        </is>
      </c>
    </row>
    <row r="12">
      <c r="A12" s="12" t="inlineStr">
        <is>
          <t>الوظيفة الحالية</t>
        </is>
      </c>
      <c r="B12" s="13" t="inlineStr">
        <is>
          <t>Production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7.6</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English (Professional working proficiency)</t>
        </is>
      </c>
    </row>
    <row r="23">
      <c r="A23" s="12" t="inlineStr">
        <is>
          <t>المؤهل العلمي</t>
        </is>
      </c>
      <c r="B23" s="13" t="inlineStr">
        <is>
          <t>B.Sc. — Industrial Engineering — Faculty of Engineering, Zagazig University</t>
        </is>
      </c>
    </row>
    <row r="24">
      <c r="A24" s="12" t="inlineStr">
        <is>
          <t>المهارات الفنية</t>
        </is>
      </c>
      <c r="B24" s="13" t="inlineStr">
        <is>
          <t>Plastic Pipe Extrusion, HDPE / UPVC / PPR / PPH Extrusion, Machine Installation &amp; Commissioning, Total Productive Maintenance (TPM), Lean Manufacturing &amp; 5S, Six Sigma, Cost Control &amp; Waste Reduction, Root Cause Analysis (RCA) &amp; SPC, Preventive Maintenance</t>
        </is>
      </c>
    </row>
    <row r="25">
      <c r="A25" s="12" t="inlineStr">
        <is>
          <t>مهارات الحاسب</t>
        </is>
      </c>
      <c r="B25" s="13" t="inlineStr">
        <is>
          <t>Microsoft Office, SolidWorks, Power BI, Minitab, Photoshop, Infor ERP system</t>
        </is>
      </c>
    </row>
    <row r="26">
      <c r="A26" s="12" t="inlineStr">
        <is>
          <t>المهارات الإدارية</t>
        </is>
      </c>
      <c r="B26" s="13" t="inlineStr">
        <is>
          <t>Production Planning &amp; Scheduling, Team Leadership &amp; Training, Quality Assurance Coordination, Cross-functional Coordination, Supplier Selection, Budgeting</t>
        </is>
      </c>
    </row>
    <row r="27">
      <c r="A27" s="12" t="inlineStr">
        <is>
          <t>المهارات الشخصية</t>
        </is>
      </c>
      <c r="B27" s="13" t="inlineStr">
        <is>
          <t>Leadership, Problem Solving, Emergency Response</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Manager, Production Section Head, Production Engineer</t>
        </is>
      </c>
    </row>
    <row r="31">
      <c r="A31" s="12" t="inlineStr">
        <is>
          <t>القطاعات / الصناعات</t>
        </is>
      </c>
      <c r="B31" s="13" t="inlineStr">
        <is>
          <t>Plastic Pipe Extrusion Manufacturing, Pre-Insulated Pipes, Building Machines &amp; Steel Industries</t>
        </is>
      </c>
    </row>
    <row r="32">
      <c r="A32" s="12" t="inlineStr">
        <is>
          <t>الشركات السابقة</t>
        </is>
      </c>
      <c r="B32" s="13" t="inlineStr">
        <is>
          <t>Perma Pipe for Pre-Insulated Pipes Co., TechnoPipe for UPVC &amp; HDPE Pipes Co., Roxy Plast for UPVC, PPR &amp; PPH Pipes Co., Misr Elhegaz for HDPE Pipes &amp; Fittings, PPR Pipes and Hoses Co., Misr Elnour for UPVC &amp; HDPE Pipes Co., Al-Sharif for Melamine &amp; Resins Co., Al-Takamol for Building Machines &amp; Steel Industries Co.</t>
        </is>
      </c>
    </row>
    <row r="33">
      <c r="A33" s="12" t="inlineStr">
        <is>
          <t>الملخص المهني</t>
        </is>
      </c>
      <c r="B33" s="13" t="inlineStr">
        <is>
          <t>Production Manager with 9+ years of progressive experience across HDPE, UPVC, PPR, and PPH pipe extrusion manufacturing. Proven track record leading full-scale machine installation and commissioning (HDPE lines 200–560mm), driving OEE and productivity improvements (e.g., 63% to 78%, 66% to 87%), and cutting production wastage by up to 60% through Lean Manufacturing, 5S, RCA, Pareto analysis, and SPC. Skilled in production planning, ERP systems (Infor), TPM, workforce leadership, and cross-functional coordination with Quality, Maintenance, and Planning departments. Lean Six Sigma Yellow Belt and OSHA certified.</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Mohamed_Metwally_CV.pdf</t>
        </is>
      </c>
    </row>
    <row r="37">
      <c r="A37" s="12" t="inlineStr">
        <is>
          <t>تاريخ الإضافة</t>
        </is>
      </c>
      <c r="B37" s="13" t="inlineStr">
        <is>
          <t>2026-09-24 11:24</t>
        </is>
      </c>
    </row>
  </sheetData>
  <mergeCells count="6">
    <mergeCell ref="A4:B4"/>
    <mergeCell ref="A21:B21"/>
    <mergeCell ref="A2:B2"/>
    <mergeCell ref="A29:B29"/>
    <mergeCell ref="A1:B1"/>
    <mergeCell ref="A34:B3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BESHOY ABDELMASEH KAMEL</t>
        </is>
      </c>
    </row>
    <row r="2">
      <c r="A2" s="10">
        <f>HYPERLINK("#'الفهرس'!A1","← العودة إلى الفهرس")</f>
        <v/>
      </c>
    </row>
    <row r="4">
      <c r="A4" s="11" t="inlineStr">
        <is>
          <t>البيانات الأساسية</t>
        </is>
      </c>
    </row>
    <row r="5">
      <c r="A5" s="12" t="inlineStr">
        <is>
          <t>الكود</t>
        </is>
      </c>
      <c r="B5" s="13" t="inlineStr">
        <is>
          <t>CAND-2026-017</t>
        </is>
      </c>
    </row>
    <row r="6">
      <c r="A6" s="12" t="inlineStr">
        <is>
          <t>الاسم الكامل</t>
        </is>
      </c>
      <c r="B6" s="13" t="inlineStr">
        <is>
          <t>BESHOY ABDELMASEH KAMEL</t>
        </is>
      </c>
    </row>
    <row r="7">
      <c r="A7" s="12" t="inlineStr">
        <is>
          <t>البريد الإلكتروني</t>
        </is>
      </c>
      <c r="B7" s="13" t="inlineStr">
        <is>
          <t>Beshoyabdelmaseh811@gmail.com</t>
        </is>
      </c>
    </row>
    <row r="8">
      <c r="A8" s="12" t="inlineStr">
        <is>
          <t>الهاتف</t>
        </is>
      </c>
      <c r="B8" s="13" t="inlineStr">
        <is>
          <t>01211492336</t>
        </is>
      </c>
    </row>
    <row r="9">
      <c r="A9" s="12" t="inlineStr">
        <is>
          <t>العمر</t>
        </is>
      </c>
      <c r="B9" s="13" t="inlineStr">
        <is>
          <t>—</t>
        </is>
      </c>
    </row>
    <row r="10">
      <c r="A10" s="12" t="inlineStr">
        <is>
          <t>لينكدإن</t>
        </is>
      </c>
      <c r="B10" s="13" t="inlineStr">
        <is>
          <t>—</t>
        </is>
      </c>
    </row>
    <row r="11">
      <c r="A11" s="12" t="inlineStr">
        <is>
          <t>محل الإقامة</t>
        </is>
      </c>
      <c r="B11" s="13" t="inlineStr">
        <is>
          <t>10th of Ramadan City, Egypt</t>
        </is>
      </c>
    </row>
    <row r="12">
      <c r="A12" s="12" t="inlineStr">
        <is>
          <t>الوظيفة الحالية</t>
        </is>
      </c>
      <c r="B12" s="13" t="inlineStr">
        <is>
          <t>Section Head</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8</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Completed</t>
        </is>
      </c>
    </row>
    <row r="21">
      <c r="A21" s="11" t="inlineStr">
        <is>
          <t>التعليم والمهارات</t>
        </is>
      </c>
    </row>
    <row r="22">
      <c r="A22" s="12" t="inlineStr">
        <is>
          <t>اللغات</t>
        </is>
      </c>
      <c r="B22" s="13" t="inlineStr">
        <is>
          <t>Arabic (Native), English ( Good )</t>
        </is>
      </c>
    </row>
    <row r="23">
      <c r="A23" s="12" t="inlineStr">
        <is>
          <t>المؤهل العلمي</t>
        </is>
      </c>
      <c r="B23" s="13" t="inlineStr">
        <is>
          <t>Bachelor of Mechanical Engineering — Design &amp; Production Engineering — Faculty of Engineering, Minia University</t>
        </is>
      </c>
    </row>
    <row r="24">
      <c r="A24" s="12" t="inlineStr">
        <is>
          <t>المهارات الفنية</t>
        </is>
      </c>
      <c r="B24" s="13" t="inlineStr">
        <is>
          <t>Thermoforming &amp; Industrial Manufacturing Operations, Plastic sheet extrusion, Production Planning &amp; Control (PPC), Lean Manufacturing &amp; Continuous Improvement (Kaizen), Six Sigma &amp; Root Cause Analysis (RCA), Process Optimization &amp; Quality Control Systems, Waste Reduction &amp; Scrap Reduction</t>
        </is>
      </c>
    </row>
    <row r="25">
      <c r="A25" s="12" t="inlineStr">
        <is>
          <t>مهارات الحاسب</t>
        </is>
      </c>
      <c r="B25" s="13" t="inlineStr">
        <is>
          <t>Advanced Microsoft Excel</t>
        </is>
      </c>
    </row>
    <row r="26">
      <c r="A26" s="12" t="inlineStr">
        <is>
          <t>المهارات الإدارية</t>
        </is>
      </c>
      <c r="B26" s="13" t="inlineStr">
        <is>
          <t>Team Leadership &amp; Operations Management, Production Planning &amp; Control, KPI Monitoring, Reporting &amp; Cost Control, Shift supervision and employee coaching, Cross-functional coordination</t>
        </is>
      </c>
    </row>
    <row r="27">
      <c r="A27" s="12" t="inlineStr">
        <is>
          <t>المهارات الشخصية</t>
        </is>
      </c>
      <c r="B27" s="13" t="inlineStr">
        <is>
          <t>Problem Solving &amp; Strategic Decision Making, Effective Technical &amp; Interpersonal Communication, Conflict Resolution &amp; Negotiation, Time Management &amp; Work Prioritization, Performance Coaching &amp; Team Mentoring, Adaptability in Fast-Paced Manufacturing Environments, Continuous Improvement Mindset</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Section Head – Thermoforming Department, Production Engineer</t>
        </is>
      </c>
    </row>
    <row r="31">
      <c r="A31" s="12" t="inlineStr">
        <is>
          <t>القطاعات / الصناعات</t>
        </is>
      </c>
      <c r="B31" s="13" t="inlineStr">
        <is>
          <t>Manufacturing, Plastic Manufacturing</t>
        </is>
      </c>
    </row>
    <row r="32">
      <c r="A32" s="12" t="inlineStr">
        <is>
          <t>الشركات السابقة</t>
        </is>
      </c>
      <c r="B32" s="13" t="inlineStr">
        <is>
          <t>Rabonni Plast Company, MCV (Manufacturing Commercial Vehicles)</t>
        </is>
      </c>
    </row>
    <row r="33">
      <c r="A33" s="12" t="inlineStr">
        <is>
          <t>الملخص المهني</t>
        </is>
      </c>
      <c r="B33" s="13" t="inlineStr">
        <is>
          <t>Working as a Section Head and Senior Mechanical &amp; Production Engineer with over 8 years of experience in manufacturing, industrial operations, and process optimization. Proven expertise in thermoforming production, plastic sheet extrusion, and Production Planning &amp; Control (PPC), Lean Manufacturing, and team leadership. Demonstrated track record in monitoring key performance indicators (KPIs), reducing scrap rates, controlling costs, and resolving complex engineering problems.</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Beshoy_Abdelmaseh_CV.pdf</t>
        </is>
      </c>
    </row>
    <row r="37">
      <c r="A37" s="12" t="inlineStr">
        <is>
          <t>تاريخ الإضافة</t>
        </is>
      </c>
      <c r="B37" s="13" t="inlineStr">
        <is>
          <t>2026-09-26 07:45</t>
        </is>
      </c>
    </row>
  </sheetData>
  <mergeCells count="6">
    <mergeCell ref="A4:B4"/>
    <mergeCell ref="A21:B21"/>
    <mergeCell ref="A2:B2"/>
    <mergeCell ref="A29:B29"/>
    <mergeCell ref="A1:B1"/>
    <mergeCell ref="A34:B3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AHMED ABDULLAH ANTER</t>
        </is>
      </c>
    </row>
    <row r="2">
      <c r="A2" s="10">
        <f>HYPERLINK("#'الفهرس'!A1","← العودة إلى الفهرس")</f>
        <v/>
      </c>
    </row>
    <row r="4">
      <c r="A4" s="11" t="inlineStr">
        <is>
          <t>البيانات الأساسية</t>
        </is>
      </c>
    </row>
    <row r="5">
      <c r="A5" s="12" t="inlineStr">
        <is>
          <t>الكود</t>
        </is>
      </c>
      <c r="B5" s="13" t="inlineStr">
        <is>
          <t>CAND-2026-018</t>
        </is>
      </c>
    </row>
    <row r="6">
      <c r="A6" s="12" t="inlineStr">
        <is>
          <t>الاسم الكامل</t>
        </is>
      </c>
      <c r="B6" s="13" t="inlineStr">
        <is>
          <t>AHMED ABDULLAH ANTER</t>
        </is>
      </c>
    </row>
    <row r="7">
      <c r="A7" s="12" t="inlineStr">
        <is>
          <t>البريد الإلكتروني</t>
        </is>
      </c>
      <c r="B7" s="13" t="inlineStr">
        <is>
          <t>a.3antar@gmail.com</t>
        </is>
      </c>
    </row>
    <row r="8">
      <c r="A8" s="12" t="inlineStr">
        <is>
          <t>الهاتف</t>
        </is>
      </c>
      <c r="B8" s="13" t="inlineStr">
        <is>
          <t>'+20 112 911 6698</t>
        </is>
      </c>
    </row>
    <row r="9">
      <c r="A9" s="12" t="inlineStr">
        <is>
          <t>العمر</t>
        </is>
      </c>
      <c r="B9" s="13" t="inlineStr">
        <is>
          <t>—</t>
        </is>
      </c>
    </row>
    <row r="10">
      <c r="A10" s="12" t="inlineStr">
        <is>
          <t>لينكدإن</t>
        </is>
      </c>
      <c r="B10" s="13" t="inlineStr">
        <is>
          <t>—</t>
        </is>
      </c>
    </row>
    <row r="11">
      <c r="A11" s="12" t="inlineStr">
        <is>
          <t>محل الإقامة</t>
        </is>
      </c>
      <c r="B11" s="13" t="inlineStr">
        <is>
          <t>10th of Ramadan, Egypt</t>
        </is>
      </c>
    </row>
    <row r="12">
      <c r="A12" s="12" t="inlineStr">
        <is>
          <t>الوظيفة الحالية</t>
        </is>
      </c>
      <c r="B12" s="13" t="inlineStr">
        <is>
          <t>Operations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22.7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t>
        </is>
      </c>
    </row>
    <row r="23">
      <c r="A23" s="12" t="inlineStr">
        <is>
          <t>المؤهل العلمي</t>
        </is>
      </c>
      <c r="B23" s="13" t="inlineStr">
        <is>
          <t>B.Sc. — Electrical Engineering (Computer &amp; Automatic Control)</t>
        </is>
      </c>
    </row>
    <row r="24">
      <c r="A24" s="12" t="inlineStr">
        <is>
          <t>المهارات الفنية</t>
        </is>
      </c>
      <c r="B24" s="13" t="inlineStr">
        <is>
          <t>Brass Valve Manufacturing, Mold Design, Metal Forming, Industrial Operations, CNC Operations, Maintenance Planning, PLC &amp; Classic Control, Injection Molds, Machining, Casting, Prototyping, Python, SQL, VBA, HTML</t>
        </is>
      </c>
    </row>
    <row r="25">
      <c r="A25" s="12" t="inlineStr">
        <is>
          <t>مهارات الحاسب</t>
        </is>
      </c>
      <c r="B25" s="13" t="inlineStr">
        <is>
          <t>Power BI, Advanced Excel, MS Project, SolidWorks, AutoCAD, Delcam, ERP Systems, PowerShape, 2D/3D Drafting, Word, Visio, Project</t>
        </is>
      </c>
    </row>
    <row r="26">
      <c r="A26" s="12" t="inlineStr">
        <is>
          <t>المهارات الإدارية</t>
        </is>
      </c>
      <c r="B26" s="13" t="inlineStr">
        <is>
          <t>Production Planning, Lean Manufacturing, Factory Management, Cost Reduction, Supply Chain Optimization, KPI Management, Crisis Management, Workforce Management, Budget Management, Scheduling, Maintenance Discipline, Process Streamlining, Logistics Coordination, Vendor Technical Evaluations, Quality Checkpoints, Project Management</t>
        </is>
      </c>
    </row>
    <row r="27">
      <c r="A27" s="12" t="inlineStr">
        <is>
          <t>المهارات الشخصية</t>
        </is>
      </c>
      <c r="B27" s="13" t="inlineStr">
        <is>
          <t>Cross-functional Leadership, Data-driven Decision Making, Supplier Negotiations, Root-Cause Analysis</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Operations Manager, General Production Manager, Brass Factory Manager, Mold Factory Manager, Engineering Department Manager / Chief Mold Designer, Mold Maker</t>
        </is>
      </c>
    </row>
    <row r="31">
      <c r="A31" s="12" t="inlineStr">
        <is>
          <t>القطاعات / الصناعات</t>
        </is>
      </c>
      <c r="B31" s="13" t="inlineStr">
        <is>
          <t>Brass Valve Manufacturing, Mold Manufacturing</t>
        </is>
      </c>
    </row>
    <row r="32">
      <c r="A32" s="12" t="inlineStr">
        <is>
          <t>الشركات السابقة</t>
        </is>
      </c>
      <c r="B32" s="13" t="inlineStr">
        <is>
          <t>EGYMOLD</t>
        </is>
      </c>
    </row>
    <row r="33">
      <c r="A33" s="12" t="inlineStr">
        <is>
          <t>الملخص المهني</t>
        </is>
      </c>
      <c r="B33" s="13" t="inlineStr">
        <is>
          <t>Operations and Production Leader with nearly 20 years of hands-on experience across brass valve manufacturing, mold design, metal forming, and industrial operations. Known for improving factory performance through data-driven decisions, lean practices, and cross-functional leadership. Led teams of 450+ employees, reduced production waste, optimized material flow, and drove major digital transformation initiatives such as ERP implementation and Power BI reporting. Strong blend of technical engineering, financial awareness, and shop-floor leadership.</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CV.docx</t>
        </is>
      </c>
    </row>
    <row r="37">
      <c r="A37" s="12" t="inlineStr">
        <is>
          <t>تاريخ الإضافة</t>
        </is>
      </c>
      <c r="B37" s="13" t="inlineStr">
        <is>
          <t>2026-09-27 11:32</t>
        </is>
      </c>
    </row>
  </sheetData>
  <mergeCells count="6">
    <mergeCell ref="A4:B4"/>
    <mergeCell ref="A21:B21"/>
    <mergeCell ref="A2:B2"/>
    <mergeCell ref="A29:B29"/>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AHMED HASSAN MOHAMED</t>
        </is>
      </c>
    </row>
    <row r="2">
      <c r="A2" s="10">
        <f>HYPERLINK("#'الفهرس'!A1","← العودة إلى الفهرس")</f>
        <v/>
      </c>
    </row>
    <row r="4">
      <c r="A4" s="11" t="inlineStr">
        <is>
          <t>البيانات الأساسية</t>
        </is>
      </c>
    </row>
    <row r="5">
      <c r="A5" s="12" t="inlineStr">
        <is>
          <t>الكود</t>
        </is>
      </c>
      <c r="B5" s="13" t="inlineStr">
        <is>
          <t>CAND-2026-019</t>
        </is>
      </c>
    </row>
    <row r="6">
      <c r="A6" s="12" t="inlineStr">
        <is>
          <t>الاسم الكامل</t>
        </is>
      </c>
      <c r="B6" s="13" t="inlineStr">
        <is>
          <t>AHMED HASSAN MOHAMED</t>
        </is>
      </c>
    </row>
    <row r="7">
      <c r="A7" s="12" t="inlineStr">
        <is>
          <t>البريد الإلكتروني</t>
        </is>
      </c>
      <c r="B7" s="13" t="inlineStr">
        <is>
          <t>ahmedhassan.bahairy@gmail.com</t>
        </is>
      </c>
    </row>
    <row r="8">
      <c r="A8" s="12" t="inlineStr">
        <is>
          <t>الهاتف</t>
        </is>
      </c>
      <c r="B8" s="13" t="inlineStr">
        <is>
          <t>01011226319</t>
        </is>
      </c>
    </row>
    <row r="9">
      <c r="A9" s="12" t="inlineStr">
        <is>
          <t>العمر</t>
        </is>
      </c>
      <c r="B9" s="13" t="n">
        <v>29</v>
      </c>
    </row>
    <row r="10">
      <c r="A10" s="12" t="inlineStr">
        <is>
          <t>لينكدإن</t>
        </is>
      </c>
      <c r="B10" s="13" t="inlineStr">
        <is>
          <t>—</t>
        </is>
      </c>
    </row>
    <row r="11">
      <c r="A11" s="12" t="inlineStr">
        <is>
          <t>محل الإقامة</t>
        </is>
      </c>
      <c r="B11" s="13" t="inlineStr">
        <is>
          <t>El-sharqia , Egypt</t>
        </is>
      </c>
    </row>
    <row r="12">
      <c r="A12" s="12" t="inlineStr">
        <is>
          <t>الوظيفة الحالية</t>
        </is>
      </c>
      <c r="B12" s="13" t="inlineStr">
        <is>
          <t>Storekeeper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5.6</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English</t>
        </is>
      </c>
    </row>
    <row r="23">
      <c r="A23" s="12" t="inlineStr">
        <is>
          <t>المؤهل العلمي</t>
        </is>
      </c>
      <c r="B23" s="13" t="inlineStr">
        <is>
          <t>Bachelor — education technology and education — Faculty of specific education, zigzag university; Special diploma — department of education technology and information technology — Faculty of specific education, zigzag university</t>
        </is>
      </c>
    </row>
    <row r="24">
      <c r="A24" s="12" t="inlineStr">
        <is>
          <t>المهارات الفنية</t>
        </is>
      </c>
      <c r="B24" s="13" t="inlineStr">
        <is>
          <t>Data Analysis, Graphic design, Web design</t>
        </is>
      </c>
    </row>
    <row r="25">
      <c r="A25" s="12" t="inlineStr">
        <is>
          <t>مهارات الحاسب</t>
        </is>
      </c>
      <c r="B25" s="13" t="inlineStr">
        <is>
          <t>International computer driving license (ICDL), Power Bi, Web development challenger track from ministry of communications and information technology</t>
        </is>
      </c>
    </row>
    <row r="26">
      <c r="A26" s="12" t="inlineStr">
        <is>
          <t>المهارات الإدارية</t>
        </is>
      </c>
      <c r="B26" s="13" t="inlineStr">
        <is>
          <t>—</t>
        </is>
      </c>
    </row>
    <row r="27">
      <c r="A27" s="12" t="inlineStr">
        <is>
          <t>المهارات الشخصية</t>
        </is>
      </c>
      <c r="B27" s="13" t="inlineStr">
        <is>
          <t>Technological principles and professional communication, Team work, Communication skills, Working under pressure, positive thinking, problem solving</t>
        </is>
      </c>
    </row>
    <row r="28">
      <c r="A28" s="12" t="inlineStr">
        <is>
          <t>مهارات أخرى</t>
        </is>
      </c>
      <c r="B28" s="13" t="inlineStr">
        <is>
          <t>Data analyst, Presentation creator, Social media</t>
        </is>
      </c>
    </row>
    <row r="29">
      <c r="A29" s="11" t="inlineStr">
        <is>
          <t>الخبرات السابقة</t>
        </is>
      </c>
    </row>
    <row r="30">
      <c r="A30" s="12" t="inlineStr">
        <is>
          <t>الوظائف السابقة</t>
        </is>
      </c>
      <c r="B30" s="13" t="inlineStr">
        <is>
          <t>Storekeeper, Data entry specialist</t>
        </is>
      </c>
    </row>
    <row r="31">
      <c r="A31" s="12" t="inlineStr">
        <is>
          <t>القطاعات / الصناعات</t>
        </is>
      </c>
      <c r="B31" s="13" t="inlineStr">
        <is>
          <t>Elsewedy industry group</t>
        </is>
      </c>
    </row>
    <row r="32">
      <c r="A32" s="12" t="inlineStr">
        <is>
          <t>الشركات السابقة</t>
        </is>
      </c>
      <c r="B32" s="13" t="inlineStr">
        <is>
          <t>taqnor, Elsewedy industry group Ismailia</t>
        </is>
      </c>
    </row>
    <row r="33">
      <c r="A33" s="12" t="inlineStr">
        <is>
          <t>الملخص المهني</t>
        </is>
      </c>
      <c r="B33" s="13" t="inlineStr">
        <is>
          <t>—</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DOC-20260809-WA0046.pdf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AHMED MOHAMMED AHMED MAHMOUD</t>
        </is>
      </c>
    </row>
    <row r="2">
      <c r="A2" s="10">
        <f>HYPERLINK("#'الفهرس'!A1","← العودة إلى الفهرس")</f>
        <v/>
      </c>
    </row>
    <row r="4">
      <c r="A4" s="11" t="inlineStr">
        <is>
          <t>البيانات الأساسية</t>
        </is>
      </c>
    </row>
    <row r="5">
      <c r="A5" s="12" t="inlineStr">
        <is>
          <t>الكود</t>
        </is>
      </c>
      <c r="B5" s="13" t="inlineStr">
        <is>
          <t>CAND-2026-020</t>
        </is>
      </c>
    </row>
    <row r="6">
      <c r="A6" s="12" t="inlineStr">
        <is>
          <t>الاسم الكامل</t>
        </is>
      </c>
      <c r="B6" s="13" t="inlineStr">
        <is>
          <t>AHMED MOHAMMED AHMED MAHMOUD</t>
        </is>
      </c>
    </row>
    <row r="7">
      <c r="A7" s="12" t="inlineStr">
        <is>
          <t>البريد الإلكتروني</t>
        </is>
      </c>
      <c r="B7" s="13" t="inlineStr">
        <is>
          <t>Cheemail4444@gmail.com</t>
        </is>
      </c>
    </row>
    <row r="8">
      <c r="A8" s="12" t="inlineStr">
        <is>
          <t>الهاتف</t>
        </is>
      </c>
      <c r="B8" s="13" t="inlineStr">
        <is>
          <t>01002739125</t>
        </is>
      </c>
    </row>
    <row r="9">
      <c r="A9" s="12" t="inlineStr">
        <is>
          <t>العمر</t>
        </is>
      </c>
      <c r="B9" s="13" t="inlineStr">
        <is>
          <t>—</t>
        </is>
      </c>
    </row>
    <row r="10">
      <c r="A10" s="12" t="inlineStr">
        <is>
          <t>لينكدإن</t>
        </is>
      </c>
      <c r="B10" s="13" t="inlineStr">
        <is>
          <t>—</t>
        </is>
      </c>
    </row>
    <row r="11">
      <c r="A11" s="12" t="inlineStr">
        <is>
          <t>محل الإقامة</t>
        </is>
      </c>
      <c r="B11" s="13" t="inlineStr">
        <is>
          <t>Ain Shams, Cairo, Egypt</t>
        </is>
      </c>
    </row>
    <row r="12">
      <c r="A12" s="12" t="inlineStr">
        <is>
          <t>الوظيفة الحالية</t>
        </is>
      </c>
      <c r="B12" s="13" t="inlineStr">
        <is>
          <t>HSE Guide</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3.8</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Successfully completed in 2023</t>
        </is>
      </c>
    </row>
    <row r="21">
      <c r="A21" s="11" t="inlineStr">
        <is>
          <t>التعليم والمهارات</t>
        </is>
      </c>
    </row>
    <row r="22">
      <c r="A22" s="12" t="inlineStr">
        <is>
          <t>اللغات</t>
        </is>
      </c>
      <c r="B22" s="13" t="inlineStr">
        <is>
          <t>Arabic: Native, English: B1 (Intermediate)</t>
        </is>
      </c>
    </row>
    <row r="23">
      <c r="A23" s="12" t="inlineStr">
        <is>
          <t>المؤهل العلمي</t>
        </is>
      </c>
      <c r="B23" s="13" t="inlineStr">
        <is>
          <t>Bachelor of Arts (B.A.) — History Department — Faculty of Arts, Ain Shams University</t>
        </is>
      </c>
    </row>
    <row r="24">
      <c r="A24" s="12" t="inlineStr">
        <is>
          <t>المهارات الفنية</t>
        </is>
      </c>
      <c r="B24" s="13" t="inlineStr">
        <is>
          <t>HSE &amp; Safety Awareness, OSHA Standards, Customer Service, Quality Monitoring, First Aid</t>
        </is>
      </c>
    </row>
    <row r="25">
      <c r="A25" s="12" t="inlineStr">
        <is>
          <t>مهارات الحاسب</t>
        </is>
      </c>
      <c r="B25" s="13" t="inlineStr">
        <is>
          <t>Microsoft Office (Word, Excel, PowerPoint)</t>
        </is>
      </c>
    </row>
    <row r="26">
      <c r="A26" s="12" t="inlineStr">
        <is>
          <t>المهارات الإدارية</t>
        </is>
      </c>
      <c r="B26" s="13" t="inlineStr">
        <is>
          <t>Leadership &amp; Team Coordination, Deadline Management</t>
        </is>
      </c>
    </row>
    <row r="27">
      <c r="A27" s="12" t="inlineStr">
        <is>
          <t>المهارات الشخصية</t>
        </is>
      </c>
      <c r="B27" s="13" t="inlineStr">
        <is>
          <t>Problem Solving, Conflict Resolution, Working Under Pressure, Professional Communication, Patience &amp; Adaptability, Time Management</t>
        </is>
      </c>
    </row>
    <row r="28">
      <c r="A28" s="12" t="inlineStr">
        <is>
          <t>مهارات أخرى</t>
        </is>
      </c>
      <c r="B28" s="13" t="inlineStr">
        <is>
          <t>Photography</t>
        </is>
      </c>
    </row>
    <row r="29">
      <c r="A29" s="11" t="inlineStr">
        <is>
          <t>الخبرات السابقة</t>
        </is>
      </c>
    </row>
    <row r="30">
      <c r="A30" s="12" t="inlineStr">
        <is>
          <t>الوظائف السابقة</t>
        </is>
      </c>
      <c r="B30" s="13" t="inlineStr">
        <is>
          <t>HSE Guide, Industrial Training, Customer Service Representative / Quality Monitoring, Social Studies Teaching Assistant</t>
        </is>
      </c>
    </row>
    <row r="31">
      <c r="A31" s="12" t="inlineStr">
        <is>
          <t>القطاعات / الصناعات</t>
        </is>
      </c>
      <c r="B31" s="13" t="inlineStr">
        <is>
          <t>Telecommunications, Cable Manufacturing</t>
        </is>
      </c>
    </row>
    <row r="32">
      <c r="A32" s="12" t="inlineStr">
        <is>
          <t>الشركات السابقة</t>
        </is>
      </c>
      <c r="B32" s="13" t="inlineStr">
        <is>
          <t>Elsewedy Cables, e&amp;</t>
        </is>
      </c>
    </row>
    <row r="33">
      <c r="A33" s="12" t="inlineStr">
        <is>
          <t>الملخص المهني</t>
        </is>
      </c>
      <c r="B33" s="13" t="inlineStr">
        <is>
          <t>Safety-focused professional with two years of customer service and quality monitoring experience at e&amp;, now developing a career in Health, Safety and Environment (HSE), with additional training exposure at Elsewedy Cables. Trained in OSHA construction and general industry standards, IOSH safety principles, and First Aid. Experienced in handling difficult situations, communicating with different personalities, resolving problems, working under pressure, and leading teams. Known for patience, professionalism, reliability, and completing work accurately and on time.</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Ahmed_Mohammed_ATS_Optimized_CV_v2.pdf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Ahmed Mohammed Fawzi Nasef</t>
        </is>
      </c>
    </row>
    <row r="2">
      <c r="A2" s="10">
        <f>HYPERLINK("#'الفهرس'!A1","← العودة إلى الفهرس")</f>
        <v/>
      </c>
    </row>
    <row r="4">
      <c r="A4" s="11" t="inlineStr">
        <is>
          <t>البيانات الأساسية</t>
        </is>
      </c>
    </row>
    <row r="5">
      <c r="A5" s="12" t="inlineStr">
        <is>
          <t>الكود</t>
        </is>
      </c>
      <c r="B5" s="13" t="inlineStr">
        <is>
          <t>CAND-2026-021</t>
        </is>
      </c>
    </row>
    <row r="6">
      <c r="A6" s="12" t="inlineStr">
        <is>
          <t>الاسم الكامل</t>
        </is>
      </c>
      <c r="B6" s="13" t="inlineStr">
        <is>
          <t>Ahmed Mohammed Fawzi Nasef</t>
        </is>
      </c>
    </row>
    <row r="7">
      <c r="A7" s="12" t="inlineStr">
        <is>
          <t>البريد الإلكتروني</t>
        </is>
      </c>
      <c r="B7" s="13" t="inlineStr">
        <is>
          <t>ahmednasef062@gmail.com</t>
        </is>
      </c>
    </row>
    <row r="8">
      <c r="A8" s="12" t="inlineStr">
        <is>
          <t>الهاتف</t>
        </is>
      </c>
      <c r="B8" s="13" t="inlineStr">
        <is>
          <t>(+20) 1069476503</t>
        </is>
      </c>
    </row>
    <row r="9">
      <c r="A9" s="12" t="inlineStr">
        <is>
          <t>العمر</t>
        </is>
      </c>
      <c r="B9" s="13" t="inlineStr">
        <is>
          <t>—</t>
        </is>
      </c>
    </row>
    <row r="10">
      <c r="A10" s="12" t="inlineStr">
        <is>
          <t>لينكدإن</t>
        </is>
      </c>
      <c r="B10" s="13" t="inlineStr">
        <is>
          <t>www.linkedin.com/in/ahmed-nasef-837034285</t>
        </is>
      </c>
    </row>
    <row r="11">
      <c r="A11" s="12" t="inlineStr">
        <is>
          <t>محل الإقامة</t>
        </is>
      </c>
      <c r="B11" s="13" t="inlineStr">
        <is>
          <t>El Mahalla - Egypt</t>
        </is>
      </c>
    </row>
    <row r="12">
      <c r="A12" s="12" t="inlineStr">
        <is>
          <t>الوظيفة الحالية</t>
        </is>
      </c>
      <c r="B12" s="13" t="inlineStr">
        <is>
          <t>Fresh Graduate in Production and Mechanical Design Engineering</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0.9</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Proficiency, English: B1 (Intermediate)</t>
        </is>
      </c>
    </row>
    <row r="23">
      <c r="A23" s="12" t="inlineStr">
        <is>
          <t>المؤهل العلمي</t>
        </is>
      </c>
      <c r="B23" s="13" t="inlineStr">
        <is>
          <t>Bachelor of Engineering — Production and Mechanical Design Engineering — Faculty of Engineering, Mansoura University</t>
        </is>
      </c>
    </row>
    <row r="24">
      <c r="A24" s="12" t="inlineStr">
        <is>
          <t>المهارات الفنية</t>
        </is>
      </c>
      <c r="B24" s="13" t="inlineStr">
        <is>
          <t>Mold Design &amp; Injection Mold Fundamentals, Assembly Design, Engineering Drawings, 2D Drafting &amp; Technical Drawings, FEA Simulation Fundamentals, 3D Scanning, Reverse Engineering, Mechanical Design, Fabrication, Automation, Industrial Application, Quality Control, Production Planning, Manufacturing Processes, Product Development, Mold Components, Parting Lines, Cooling Systems, Ejector Systems, DFM Principles, Structural Analysis, Stress Distribution, Deformation, Simulation Workflows, Mesh Processing, CAD Model Reconstruction, Industrial Safety, Workflow Standards, Equipment Inspection, Preventive Maintenance</t>
        </is>
      </c>
    </row>
    <row r="25">
      <c r="A25" s="12" t="inlineStr">
        <is>
          <t>مهارات الحاسب</t>
        </is>
      </c>
      <c r="B25" s="13" t="inlineStr">
        <is>
          <t>Solidworks, AutoCAD, ANSYS, Geomagic, Microsoft Excel, Microsoft Word, Microsoft PowerPoint</t>
        </is>
      </c>
    </row>
    <row r="26">
      <c r="A26" s="12" t="inlineStr">
        <is>
          <t>المهارات الإدارية</t>
        </is>
      </c>
      <c r="B26" s="13" t="inlineStr">
        <is>
          <t>Production Line Operations, Scheduling</t>
        </is>
      </c>
    </row>
    <row r="27">
      <c r="A27" s="12" t="inlineStr">
        <is>
          <t>المهارات الشخصية</t>
        </is>
      </c>
      <c r="B27" s="13" t="inlineStr">
        <is>
          <t>Problem Solving, Communication Skills, Fast Learning, Research Skills, Teamwork, Time Management</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&amp; Quality Control Trainee, Mechanical Maintenance Trainee</t>
        </is>
      </c>
    </row>
    <row r="31">
      <c r="A31" s="12" t="inlineStr">
        <is>
          <t>القطاعات / الصناعات</t>
        </is>
      </c>
      <c r="B31" s="13" t="inlineStr">
        <is>
          <t>Manufacturing, Packaging, Petroleum</t>
        </is>
      </c>
    </row>
    <row r="32">
      <c r="A32" s="12" t="inlineStr">
        <is>
          <t>الشركات السابقة</t>
        </is>
      </c>
      <c r="B32" s="13" t="inlineStr">
        <is>
          <t>Ghazl El Mahalla Company, Cubii Packaging Company, General Petroleum Company</t>
        </is>
      </c>
    </row>
    <row r="33">
      <c r="A33" s="12" t="inlineStr">
        <is>
          <t>الملخص المهني</t>
        </is>
      </c>
      <c r="B33" s="13" t="inlineStr">
        <is>
          <t>Fresh Production Engineering graduate with specialized training in mold design, plastic injection tooling, and CAD modeling. Proficient in SolidWorks, AutoCAD, ANSYS, and Geomagic with hands-on industrial exposure to manufacturing processes, quality control, and production planning. Seeking to contribute technical skills in mold design, tooling, and product development within a manufacturing environment.</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cv-1.pdf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MOHAMED SAEED</t>
        </is>
      </c>
    </row>
    <row r="2">
      <c r="A2" s="10">
        <f>HYPERLINK("#'الفهرس'!A1","← العودة إلى الفهرس")</f>
        <v/>
      </c>
    </row>
    <row r="4">
      <c r="A4" s="11" t="inlineStr">
        <is>
          <t>البيانات الأساسية</t>
        </is>
      </c>
    </row>
    <row r="5">
      <c r="A5" s="12" t="inlineStr">
        <is>
          <t>الكود</t>
        </is>
      </c>
      <c r="B5" s="13" t="inlineStr">
        <is>
          <t>CAND-2026-022</t>
        </is>
      </c>
    </row>
    <row r="6">
      <c r="A6" s="12" t="inlineStr">
        <is>
          <t>الاسم الكامل</t>
        </is>
      </c>
      <c r="B6" s="13" t="inlineStr">
        <is>
          <t>MOHAMED SAEED</t>
        </is>
      </c>
    </row>
    <row r="7">
      <c r="A7" s="12" t="inlineStr">
        <is>
          <t>البريد الإلكتروني</t>
        </is>
      </c>
      <c r="B7" s="13" t="inlineStr">
        <is>
          <t>Gedoeldewery23@gmail.com</t>
        </is>
      </c>
    </row>
    <row r="8">
      <c r="A8" s="12" t="inlineStr">
        <is>
          <t>الهاتف</t>
        </is>
      </c>
      <c r="B8" s="13" t="inlineStr">
        <is>
          <t>(+20) 1202562133</t>
        </is>
      </c>
    </row>
    <row r="9">
      <c r="A9" s="12" t="inlineStr">
        <is>
          <t>العمر</t>
        </is>
      </c>
      <c r="B9" s="13" t="inlineStr">
        <is>
          <t>—</t>
        </is>
      </c>
    </row>
    <row r="10">
      <c r="A10" s="12" t="inlineStr">
        <is>
          <t>لينكدإن</t>
        </is>
      </c>
      <c r="B10" s="13" t="inlineStr">
        <is>
          <t>—</t>
        </is>
      </c>
    </row>
    <row r="11">
      <c r="A11" s="12" t="inlineStr">
        <is>
          <t>محل الإقامة</t>
        </is>
      </c>
      <c r="B11" s="13" t="inlineStr">
        <is>
          <t>Al-Sharqia, Abu Hammad, El-Sawa, Egypt</t>
        </is>
      </c>
    </row>
    <row r="12">
      <c r="A12" s="12" t="inlineStr">
        <is>
          <t>الوظيفة الحالية</t>
        </is>
      </c>
      <c r="B12" s="13" t="inlineStr">
        <is>
          <t>QUALITY ASSURANCE / QC ENGINEER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inlineStr">
        <is>
          <t>—</t>
        </is>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English: Professional</t>
        </is>
      </c>
    </row>
    <row r="23">
      <c r="A23" s="12" t="inlineStr">
        <is>
          <t>المؤهل العلمي</t>
        </is>
      </c>
      <c r="B23" s="13" t="inlineStr">
        <is>
          <t>Bachelor’s Degree — Agricultural Sciences — Al-Azhar University</t>
        </is>
      </c>
    </row>
    <row r="24">
      <c r="A24" s="12" t="inlineStr">
        <is>
          <t>المهارات الفنية</t>
        </is>
      </c>
      <c r="B24" s="13" t="inlineStr">
        <is>
          <t>Food Safety Management, Line Inspection, Quality Documentation, Sanitation &amp; Hygiene, Food Safety Standards, CCP Monitoring, Production Inspection, Food Safety Management System, Hazard Analysis &amp; Critical Control Points, Good Manufacturing Practices, National Food Safety Authority, Quality Assurance (QA), Quality Control (QC)</t>
        </is>
      </c>
    </row>
    <row r="25">
      <c r="A25" s="12" t="inlineStr">
        <is>
          <t>مهارات الحاسب</t>
        </is>
      </c>
      <c r="B25" s="13" t="inlineStr">
        <is>
          <t>Microsoft Office, Microsoft Excel &amp; Word</t>
        </is>
      </c>
    </row>
    <row r="26">
      <c r="A26" s="12" t="inlineStr">
        <is>
          <t>المهارات الإدارية</t>
        </is>
      </c>
      <c r="B26" s="13" t="inlineStr">
        <is>
          <t>Supervised hygiene protocols, Enforced strict adherence to GMP, Monitored temperature controls</t>
        </is>
      </c>
    </row>
    <row r="27">
      <c r="A27" s="12" t="inlineStr">
        <is>
          <t>المهارات الشخصية</t>
        </is>
      </c>
      <c r="B27" s="13" t="inlineStr">
        <is>
          <t>Problem Solving</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Quality Control Trainee</t>
        </is>
      </c>
    </row>
    <row r="31">
      <c r="A31" s="12" t="inlineStr">
        <is>
          <t>القطاعات / الصناعات</t>
        </is>
      </c>
      <c r="B31" s="13" t="inlineStr">
        <is>
          <t>food processing industries, tomato paste, fruit concentrates, and natural juice packaging</t>
        </is>
      </c>
    </row>
    <row r="32">
      <c r="A32" s="12" t="inlineStr">
        <is>
          <t>الشركات السابقة</t>
        </is>
      </c>
      <c r="B32" s="13" t="inlineStr">
        <is>
          <t>Al Shams Agro Group, Fresh Farm – El Obour</t>
        </is>
      </c>
    </row>
    <row r="33">
      <c r="A33" s="12" t="inlineStr">
        <is>
          <t>الملخص المهني</t>
        </is>
      </c>
      <c r="B33" s="13" t="inlineStr">
        <is>
          <t>Detail-oriented and dedicated Quality Control Engineer with a strong academic background in Agricultural Sciences from Al-Azhar University (Class of 2024). Possesses hands-on training experience in food processing industries, including tomato paste, fruit concentrates, juice packaging, and processed meats. In-depth understanding of international food safety systems (ISO 22000, HACCP, GMP) and National Food Safety Authority (NFSA) regulations. Committed to maintaining high standards of food quality and safety.</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Mohamed_Saeed_CV_With_Photo.pdf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Ahmed Mohamed Lashen</t>
        </is>
      </c>
    </row>
    <row r="2">
      <c r="A2" s="10">
        <f>HYPERLINK("#'الفهرس'!A1","← العودة إلى الفهرس")</f>
        <v/>
      </c>
    </row>
    <row r="4">
      <c r="A4" s="11" t="inlineStr">
        <is>
          <t>البيانات الأساسية</t>
        </is>
      </c>
    </row>
    <row r="5">
      <c r="A5" s="12" t="inlineStr">
        <is>
          <t>الكود</t>
        </is>
      </c>
      <c r="B5" s="13" t="inlineStr">
        <is>
          <t>CAND-2026-023</t>
        </is>
      </c>
    </row>
    <row r="6">
      <c r="A6" s="12" t="inlineStr">
        <is>
          <t>الاسم الكامل</t>
        </is>
      </c>
      <c r="B6" s="13" t="inlineStr">
        <is>
          <t>Ahmed Mohamed Lashen</t>
        </is>
      </c>
    </row>
    <row r="7">
      <c r="A7" s="12" t="inlineStr">
        <is>
          <t>البريد الإلكتروني</t>
        </is>
      </c>
      <c r="B7" s="13" t="inlineStr">
        <is>
          <t>ahmedtawfeek181@gmail.com</t>
        </is>
      </c>
    </row>
    <row r="8">
      <c r="A8" s="12" t="inlineStr">
        <is>
          <t>الهاتف</t>
        </is>
      </c>
      <c r="B8" s="13" t="inlineStr">
        <is>
          <t>(+20) 1125264337</t>
        </is>
      </c>
    </row>
    <row r="9">
      <c r="A9" s="12" t="inlineStr">
        <is>
          <t>العمر</t>
        </is>
      </c>
      <c r="B9" s="13" t="inlineStr">
        <is>
          <t>—</t>
        </is>
      </c>
    </row>
    <row r="10">
      <c r="A10" s="12" t="inlineStr">
        <is>
          <t>لينكدإن</t>
        </is>
      </c>
      <c r="B10" s="13" t="inlineStr">
        <is>
          <t>—</t>
        </is>
      </c>
    </row>
    <row r="11">
      <c r="A11" s="12" t="inlineStr">
        <is>
          <t>محل الإقامة</t>
        </is>
      </c>
      <c r="B11" s="13" t="inlineStr">
        <is>
          <t>Quewisna, El-Menoufia, Egypt</t>
        </is>
      </c>
    </row>
    <row r="12">
      <c r="A12" s="12" t="inlineStr">
        <is>
          <t>الوظيفة الحالية</t>
        </is>
      </c>
      <c r="B12" s="13" t="inlineStr">
        <is>
          <t>Production Engineer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3.7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 Mother tongue., English : Conversational (B2)</t>
        </is>
      </c>
    </row>
    <row r="23">
      <c r="A23" s="12" t="inlineStr">
        <is>
          <t>المؤهل العلمي</t>
        </is>
      </c>
      <c r="B23" s="13" t="inlineStr">
        <is>
          <t>Bachelor degree — mechanical engineering department(section of production engineering and Mechanical design) — Faculty of engineering menoufia University</t>
        </is>
      </c>
    </row>
    <row r="24">
      <c r="A24" s="12" t="inlineStr">
        <is>
          <t>المهارات الفنية</t>
        </is>
      </c>
      <c r="B24" s="13" t="inlineStr">
        <is>
          <t>Production Planning, Extrusion lines, Injection Molding machines, Standard Operating Procedures (SOPs), Raw Material Management, PE/PP pellets, Masterbatch, Process Control, polymer process variables, Root Cause Analysis, Breakdown Management, Predictive Maintenance (PdM), vibration analysis, oil analysis, MRO Inventory, Asset Inventory</t>
        </is>
      </c>
    </row>
    <row r="25">
      <c r="A25" s="12" t="inlineStr">
        <is>
          <t>مهارات الحاسب</t>
        </is>
      </c>
      <c r="B25" s="13" t="inlineStr">
        <is>
          <t>Microsoft programs (Word, Excel, PowerPoint, etc.), G.Drive, G.Sheets, OneDrive, Gmail, Outlook, Canva, CMMS, solid program, SAP</t>
        </is>
      </c>
    </row>
    <row r="26">
      <c r="A26" s="12" t="inlineStr">
        <is>
          <t>المهارات الإدارية</t>
        </is>
      </c>
      <c r="B26" s="13" t="inlineStr">
        <is>
          <t>Operations Management, Shift &amp; Production Scheduling, Process Oversight, Waste Reduction, Maintenance, Repair, and Operations (MRO) Inventory, Asset Documentation</t>
        </is>
      </c>
    </row>
    <row r="27">
      <c r="A27" s="12" t="inlineStr">
        <is>
          <t>المهارات الشخصية</t>
        </is>
      </c>
      <c r="B27" s="13" t="inlineStr">
        <is>
          <t>Hard worker, Self-motivated, Teamwork, Time management, Problem-solving, Leadership, Organizing and prioritizing, Customer service, Project management, Communication, Work under pressure, Adaptability, Administrative, Attention to detail, Search Skills</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Engineer, Maintenance Engineer</t>
        </is>
      </c>
    </row>
    <row r="31">
      <c r="A31" s="12" t="inlineStr">
        <is>
          <t>القطاعات / الصناعات</t>
        </is>
      </c>
      <c r="B31" s="13" t="inlineStr">
        <is>
          <t>Plastic Manufacturing</t>
        </is>
      </c>
    </row>
    <row r="32">
      <c r="A32" s="12" t="inlineStr">
        <is>
          <t>الشركات السابقة</t>
        </is>
      </c>
      <c r="B32" s="13" t="inlineStr">
        <is>
          <t>El-Quds Company for Plastic, Ceramica Royal Company</t>
        </is>
      </c>
    </row>
    <row r="33">
      <c r="A33" s="12" t="inlineStr">
        <is>
          <t>الملخص المهني</t>
        </is>
      </c>
      <c r="B33" s="13" t="inlineStr">
        <is>
          <t>Iam Production Mechanical Engineer and responsible for planning, coordinating, and overseeing all stages of production and manufacturing to ensure the highest levels of efficiency, quality, and cost reduction. The role involves improving and developing mechanical processes and equipment to achieve optimal performance.</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Ahmed Mohamed Lashen 2 Cv.pdf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Hamada shuman</t>
        </is>
      </c>
    </row>
    <row r="2">
      <c r="A2" s="10">
        <f>HYPERLINK("#'الفهرس'!A1","← العودة إلى الفهرس")</f>
        <v/>
      </c>
    </row>
    <row r="4">
      <c r="A4" s="11" t="inlineStr">
        <is>
          <t>البيانات الأساسية</t>
        </is>
      </c>
    </row>
    <row r="5">
      <c r="A5" s="12" t="inlineStr">
        <is>
          <t>الكود</t>
        </is>
      </c>
      <c r="B5" s="13" t="inlineStr">
        <is>
          <t>CAND-2026-024</t>
        </is>
      </c>
    </row>
    <row r="6">
      <c r="A6" s="12" t="inlineStr">
        <is>
          <t>الاسم الكامل</t>
        </is>
      </c>
      <c r="B6" s="13" t="inlineStr">
        <is>
          <t>Hamada shuman</t>
        </is>
      </c>
    </row>
    <row r="7">
      <c r="A7" s="12" t="inlineStr">
        <is>
          <t>البريد الإلكتروني</t>
        </is>
      </c>
      <c r="B7" s="13" t="inlineStr">
        <is>
          <t>m.hamadashuman@yahoo.com</t>
        </is>
      </c>
    </row>
    <row r="8">
      <c r="A8" s="12" t="inlineStr">
        <is>
          <t>الهاتف</t>
        </is>
      </c>
      <c r="B8" s="13" t="inlineStr">
        <is>
          <t>'+968 92 198 733, +20 102 134 5403</t>
        </is>
      </c>
    </row>
    <row r="9">
      <c r="A9" s="12" t="inlineStr">
        <is>
          <t>العمر</t>
        </is>
      </c>
      <c r="B9" s="13" t="inlineStr">
        <is>
          <t>—</t>
        </is>
      </c>
    </row>
    <row r="10">
      <c r="A10" s="12" t="inlineStr">
        <is>
          <t>لينكدإن</t>
        </is>
      </c>
      <c r="B10" s="13" t="inlineStr">
        <is>
          <t>https://www.linkedin.com/in/hamada-shuman-1445089a</t>
        </is>
      </c>
    </row>
    <row r="11">
      <c r="A11" s="12" t="inlineStr">
        <is>
          <t>محل الإقامة</t>
        </is>
      </c>
      <c r="B11" s="13" t="inlineStr">
        <is>
          <t>Egypt</t>
        </is>
      </c>
    </row>
    <row r="12">
      <c r="A12" s="12" t="inlineStr">
        <is>
          <t>الوظيفة الحالية</t>
        </is>
      </c>
      <c r="B12" s="13" t="inlineStr">
        <is>
          <t>Senior Data Engineer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16.7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Exempted</t>
        </is>
      </c>
    </row>
    <row r="21">
      <c r="A21" s="11" t="inlineStr">
        <is>
          <t>التعليم والمهارات</t>
        </is>
      </c>
    </row>
    <row r="22">
      <c r="A22" s="12" t="inlineStr">
        <is>
          <t>اللغات</t>
        </is>
      </c>
      <c r="B22" s="13" t="inlineStr">
        <is>
          <t>Arabic: Native, English: Very good</t>
        </is>
      </c>
    </row>
    <row r="23">
      <c r="A23" s="12" t="inlineStr">
        <is>
          <t>المؤهل العلمي</t>
        </is>
      </c>
      <c r="B23" s="13" t="inlineStr">
        <is>
          <t>Bachelor of Science (B.Sc.) — Special Geology — Al-Azhar University, Egypt</t>
        </is>
      </c>
    </row>
    <row r="24">
      <c r="A24" s="12" t="inlineStr">
        <is>
          <t>المهارات الفنية</t>
        </is>
      </c>
      <c r="B24" s="13" t="inlineStr">
        <is>
          <t>Real-Time Drilling Data Monitoring, Formation Evaluation &amp; Geological Interpretation, Mud Logging Systems, Gas Detection &amp; UV Analysis, Pressure &amp; Flow Rate Analysis, Well Correlation &amp; Formation Tops, Drilling Optimization, HSE Compliance &amp; Rig Safety</t>
        </is>
      </c>
    </row>
    <row r="25">
      <c r="A25" s="12" t="inlineStr">
        <is>
          <t>مهارات الحاسب</t>
        </is>
      </c>
      <c r="B25" s="13" t="inlineStr">
        <is>
          <t>Microsoft Office</t>
        </is>
      </c>
    </row>
    <row r="26">
      <c r="A26" s="12" t="inlineStr">
        <is>
          <t>المهارات الإدارية</t>
        </is>
      </c>
      <c r="B26" s="13" t="inlineStr">
        <is>
          <t>Managing and analyzing pressure, temperature, and flow rate systems, Conducting routine equipment diagnostics and system inspections, Integrating field data into digital platforms, Performing advanced formation evaluation and lithological interpretation, Executing accurate well correlation and stratigraphic analysis, Monitoring real-time mud logging systems and gas levels, Preparing detailed daily drilling reports and geological logs, Applying real-time drilling data acquisition systems, Utilizing UV Box and gas detection technologies, Analyzing geological samples and drilling parameters, Generating comprehensive mud logs and gas reports</t>
        </is>
      </c>
    </row>
    <row r="27">
      <c r="A27" s="12" t="inlineStr">
        <is>
          <t>المهارات الشخصية</t>
        </is>
      </c>
      <c r="B27" s="13" t="inlineStr">
        <is>
          <t>Time Management, Teamwork, Effective Communication, Leadership, Problem Solving, Negotiation, Flexibility</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Senior Data Engineer, Production Engineer, Deputy production Manager, Senior Wellsite Geologist &amp; Data Engineer, Mud Logging Engineer &amp; Data Engineer</t>
        </is>
      </c>
    </row>
    <row r="31">
      <c r="A31" s="12" t="inlineStr">
        <is>
          <t>القطاعات / الصناعات</t>
        </is>
      </c>
      <c r="B31" s="13" t="inlineStr">
        <is>
          <t>oil and gas, U-PVC &amp; PE Pipes</t>
        </is>
      </c>
    </row>
    <row r="32">
      <c r="A32" s="12" t="inlineStr">
        <is>
          <t>الشركات السابقة</t>
        </is>
      </c>
      <c r="B32" s="13" t="inlineStr">
        <is>
          <t>SIGMA for Oil and Gas Field Services LLC, Misr El Hegaz Group, Al Rowad El Hegaz, Dar Al-Sahra Energy Services (DAS), Electronic Construction Services (ECS)</t>
        </is>
      </c>
    </row>
    <row r="33">
      <c r="A33" s="12" t="inlineStr">
        <is>
          <t>الملخص المهني</t>
        </is>
      </c>
      <c r="B33" s="13" t="inlineStr">
        <is>
          <t>Result-oriented Senior Data Engineer &amp; Wellsite Geologist with over 15 years of extensive experience in the oil and gas industry across Egypt and Oman. Proven expertise in real-time drilling data monitoring, formation evaluation, mud logging, and gas detection for major operators including OXY, PDO, Daleel, and Bapetco. Highly skilled in optimizing drilling parameters, reservoir characterization, wellsite operations, and HSE compliance, with a strong track record of delivering high-accuracy geological and operational reports that support decision-making and maximize drilling efficiency.</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Hamada shuman 9-2026.pdf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Ahmed Hamdy Mohamed Ahmed</t>
        </is>
      </c>
    </row>
    <row r="2">
      <c r="A2" s="10">
        <f>HYPERLINK("#'الفهرس'!A1","← العودة إلى الفهرس")</f>
        <v/>
      </c>
    </row>
    <row r="4">
      <c r="A4" s="11" t="inlineStr">
        <is>
          <t>البيانات الأساسية</t>
        </is>
      </c>
    </row>
    <row r="5">
      <c r="A5" s="12" t="inlineStr">
        <is>
          <t>الكود</t>
        </is>
      </c>
      <c r="B5" s="13" t="inlineStr">
        <is>
          <t>CAND-2026-025</t>
        </is>
      </c>
    </row>
    <row r="6">
      <c r="A6" s="12" t="inlineStr">
        <is>
          <t>الاسم الكامل</t>
        </is>
      </c>
      <c r="B6" s="13" t="inlineStr">
        <is>
          <t>Ahmed Hamdy Mohamed Ahmed</t>
        </is>
      </c>
    </row>
    <row r="7">
      <c r="A7" s="12" t="inlineStr">
        <is>
          <t>البريد الإلكتروني</t>
        </is>
      </c>
      <c r="B7" s="13" t="inlineStr">
        <is>
          <t>ahmad.hamdy9324@gmail.com</t>
        </is>
      </c>
    </row>
    <row r="8">
      <c r="A8" s="12" t="inlineStr">
        <is>
          <t>الهاتف</t>
        </is>
      </c>
      <c r="B8" s="13" t="inlineStr">
        <is>
          <t>'+2 0106 686 5476</t>
        </is>
      </c>
    </row>
    <row r="9">
      <c r="A9" s="12" t="inlineStr">
        <is>
          <t>العمر</t>
        </is>
      </c>
      <c r="B9" s="13" t="n">
        <v>26</v>
      </c>
    </row>
    <row r="10">
      <c r="A10" s="12" t="inlineStr">
        <is>
          <t>لينكدإن</t>
        </is>
      </c>
      <c r="B10" s="13" t="inlineStr">
        <is>
          <t>—</t>
        </is>
      </c>
    </row>
    <row r="11">
      <c r="A11" s="12" t="inlineStr">
        <is>
          <t>محل الإقامة</t>
        </is>
      </c>
      <c r="B11" s="13" t="inlineStr">
        <is>
          <t>Belbeis – El-sharkia – Egypt</t>
        </is>
      </c>
    </row>
    <row r="12">
      <c r="A12" s="12" t="inlineStr">
        <is>
          <t>الوظيفة الحالية</t>
        </is>
      </c>
      <c r="B12" s="13" t="inlineStr">
        <is>
          <t>Production Engineer – Plastic Injection Molding</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5.5</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Single</t>
        </is>
      </c>
    </row>
    <row r="20">
      <c r="A20" s="12" t="inlineStr">
        <is>
          <t>الموقف من التجنيد</t>
        </is>
      </c>
      <c r="B20" s="13" t="inlineStr">
        <is>
          <t>Completed</t>
        </is>
      </c>
    </row>
    <row r="21">
      <c r="A21" s="11" t="inlineStr">
        <is>
          <t>التعليم والمهارات</t>
        </is>
      </c>
    </row>
    <row r="22">
      <c r="A22" s="12" t="inlineStr">
        <is>
          <t>اللغات</t>
        </is>
      </c>
      <c r="B22" s="13" t="inlineStr">
        <is>
          <t>Arabic – Native, English – Good (Speaking, Writing, Listening)</t>
        </is>
      </c>
    </row>
    <row r="23">
      <c r="A23" s="12" t="inlineStr">
        <is>
          <t>المؤهل العلمي</t>
        </is>
      </c>
      <c r="B23" s="13" t="inlineStr">
        <is>
          <t>Bachelor of Agricultural Engineering — Agricultural Engineering — Al-Azhar University</t>
        </is>
      </c>
    </row>
    <row r="24">
      <c r="A24" s="12" t="inlineStr">
        <is>
          <t>المهارات الفنية</t>
        </is>
      </c>
      <c r="B24" s="13" t="inlineStr">
        <is>
          <t>Plastic Injection Molding Process Knowledge, Production Process Monitoring &amp; Improvement, Injection Defects Troubleshooting, Quality Control &amp; Inspection, Plastic Pipes &amp; Fittings Testing, Production Reporting &amp; Data Analysis, Waste Reduction &amp; Process Optimization, Understanding of ISO/DIN Standards, Laboratory Equipment Calibration &amp; Maintenance, Lean Manufacturing, 5S, and Kaizen</t>
        </is>
      </c>
    </row>
    <row r="25">
      <c r="A25" s="12" t="inlineStr">
        <is>
          <t>مهارات الحاسب</t>
        </is>
      </c>
      <c r="B25" s="13" t="inlineStr">
        <is>
          <t>Microsoft Office (Excel, Word, PowerPoint), Odoo</t>
        </is>
      </c>
    </row>
    <row r="26">
      <c r="A26" s="12" t="inlineStr">
        <is>
          <t>المهارات الإدارية</t>
        </is>
      </c>
      <c r="B26" s="13" t="inlineStr">
        <is>
          <t>Production tracking, Reporting, Cross-department coordination</t>
        </is>
      </c>
    </row>
    <row r="27">
      <c r="A27" s="12" t="inlineStr">
        <is>
          <t>المهارات الشخصية</t>
        </is>
      </c>
      <c r="B27" s="13" t="inlineStr">
        <is>
          <t>Teamwork, Problem Solving</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Engineering, Lab Engineer, Quality Control Engineer</t>
        </is>
      </c>
    </row>
    <row r="31">
      <c r="A31" s="12" t="inlineStr">
        <is>
          <t>القطاعات / الصناعات</t>
        </is>
      </c>
      <c r="B31" s="13" t="inlineStr">
        <is>
          <t>Plastic Manufacturing</t>
        </is>
      </c>
    </row>
    <row r="32">
      <c r="A32" s="12" t="inlineStr">
        <is>
          <t>الشركات السابقة</t>
        </is>
      </c>
      <c r="B32" s="13" t="inlineStr">
        <is>
          <t>CL For Plastic Pipe, CL for Plastic Pipes, Alrowad for Plastic Pipes</t>
        </is>
      </c>
    </row>
    <row r="33">
      <c r="A33" s="12" t="inlineStr">
        <is>
          <t>الملخص المهني</t>
        </is>
      </c>
      <c r="B33" s="13" t="inlineStr">
        <is>
          <t>Production Engineer with solid experience in plastic manufacturing, injection molding operations, laboratory testing and quality control within industrial environments. Skilled in process monitoring, troubleshooting production issues, reducing scrap rates, and improving overall efficiency. Good understanding of production system and digital manufacturing tools including ERP system such as Odoo, with experience in tracking KPIs, managing production reporting, and working with Bill of Materials (BOM) based workflows. Previous experience in laboratory testing and quality control for plastic pipe and fittings has strengthened knowledge of ISO/DIN standards and material behavior, supporting stable and controlled production processes.</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Ahmed_Hamdy_CV_CV.pdf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Atef Emad Saber Ahmed</t>
        </is>
      </c>
    </row>
    <row r="2">
      <c r="A2" s="10">
        <f>HYPERLINK("#'الفهرس'!A1","← العودة إلى الفهرس")</f>
        <v/>
      </c>
    </row>
    <row r="4">
      <c r="A4" s="11" t="inlineStr">
        <is>
          <t>البيانات الأساسية</t>
        </is>
      </c>
    </row>
    <row r="5">
      <c r="A5" s="12" t="inlineStr">
        <is>
          <t>الكود</t>
        </is>
      </c>
      <c r="B5" s="13" t="inlineStr">
        <is>
          <t>CAND-2026-026</t>
        </is>
      </c>
    </row>
    <row r="6">
      <c r="A6" s="12" t="inlineStr">
        <is>
          <t>الاسم الكامل</t>
        </is>
      </c>
      <c r="B6" s="13" t="inlineStr">
        <is>
          <t>Atef Emad Saber Ahmed</t>
        </is>
      </c>
    </row>
    <row r="7">
      <c r="A7" s="12" t="inlineStr">
        <is>
          <t>البريد الإلكتروني</t>
        </is>
      </c>
      <c r="B7" s="13" t="inlineStr">
        <is>
          <t>Atefmopasher@icloud.com</t>
        </is>
      </c>
    </row>
    <row r="8">
      <c r="A8" s="12" t="inlineStr">
        <is>
          <t>الهاتف</t>
        </is>
      </c>
      <c r="B8" s="13" t="inlineStr">
        <is>
          <t>010-324-19496</t>
        </is>
      </c>
    </row>
    <row r="9">
      <c r="A9" s="12" t="inlineStr">
        <is>
          <t>العمر</t>
        </is>
      </c>
      <c r="B9" s="13" t="inlineStr">
        <is>
          <t>—</t>
        </is>
      </c>
    </row>
    <row r="10">
      <c r="A10" s="12" t="inlineStr">
        <is>
          <t>لينكدإن</t>
        </is>
      </c>
      <c r="B10" s="13" t="inlineStr">
        <is>
          <t>—</t>
        </is>
      </c>
    </row>
    <row r="11">
      <c r="A11" s="12" t="inlineStr">
        <is>
          <t>محل الإقامة</t>
        </is>
      </c>
      <c r="B11" s="13" t="inlineStr">
        <is>
          <t>Zagazig, El-Sharqia, Egypt</t>
        </is>
      </c>
    </row>
    <row r="12">
      <c r="A12" s="12" t="inlineStr">
        <is>
          <t>الوظيفة الحالية</t>
        </is>
      </c>
      <c r="B12" s="13" t="inlineStr">
        <is>
          <t>Production &amp; Quality Control Engineer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4.7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English: Good (Reading, Writing, and Speaking)</t>
        </is>
      </c>
    </row>
    <row r="23">
      <c r="A23" s="12" t="inlineStr">
        <is>
          <t>المؤهل العلمي</t>
        </is>
      </c>
      <c r="B23" s="13" t="inlineStr">
        <is>
          <t>Bachelor of Commerce — Accounting — Zagazig University</t>
        </is>
      </c>
    </row>
    <row r="24">
      <c r="A24" s="12" t="inlineStr">
        <is>
          <t>المهارات الفنية</t>
        </is>
      </c>
      <c r="B24" s="13" t="inlineStr">
        <is>
          <t>Production Planning, Quality Control, Laboratory Testing, Data Analysis</t>
        </is>
      </c>
    </row>
    <row r="25">
      <c r="A25" s="12" t="inlineStr">
        <is>
          <t>مهارات الحاسب</t>
        </is>
      </c>
      <c r="B25" s="13" t="inlineStr">
        <is>
          <t>Microsoft Office, Word, Excel, PowerPoint</t>
        </is>
      </c>
    </row>
    <row r="26">
      <c r="A26" s="12" t="inlineStr">
        <is>
          <t>المهارات الإدارية</t>
        </is>
      </c>
      <c r="B26" s="13" t="inlineStr">
        <is>
          <t>Supervising Production Lines, Workflow Monitoring, Maintenance Coordination</t>
        </is>
      </c>
    </row>
    <row r="27">
      <c r="A27" s="12" t="inlineStr">
        <is>
          <t>المهارات الشخصية</t>
        </is>
      </c>
      <c r="B27" s="13" t="inlineStr">
        <is>
          <t>Communication, Teamwork, Working Under Pressure</t>
        </is>
      </c>
    </row>
    <row r="28">
      <c r="A28" s="12" t="inlineStr">
        <is>
          <t>مهارات أخرى</t>
        </is>
      </c>
      <c r="B28" s="13" t="inlineStr">
        <is>
          <t>ICDL Certified, Accounting Principles</t>
        </is>
      </c>
    </row>
    <row r="29">
      <c r="A29" s="11" t="inlineStr">
        <is>
          <t>الخبرات السابقة</t>
        </is>
      </c>
    </row>
    <row r="30">
      <c r="A30" s="12" t="inlineStr">
        <is>
          <t>الوظائف السابقة</t>
        </is>
      </c>
      <c r="B30" s="13" t="inlineStr">
        <is>
          <t>Production &amp; Quality Control Engineer, Production Follow-up Officer, Data Entry Clerk</t>
        </is>
      </c>
    </row>
    <row r="31">
      <c r="A31" s="12" t="inlineStr">
        <is>
          <t>القطاعات / الصناعات</t>
        </is>
      </c>
      <c r="B31" s="13" t="inlineStr">
        <is>
          <t>Plastic Manufacturing, Food Industries</t>
        </is>
      </c>
    </row>
    <row r="32">
      <c r="A32" s="12" t="inlineStr">
        <is>
          <t>الشركات السابقة</t>
        </is>
      </c>
      <c r="B32" s="13" t="inlineStr">
        <is>
          <t>Techno Pipe (U.P.V.C &amp; HDPE), Bona Food Industries, Yalla Nelaab Sports Company</t>
        </is>
      </c>
    </row>
    <row r="33">
      <c r="A33" s="12" t="inlineStr">
        <is>
          <t>الملخص المهني</t>
        </is>
      </c>
      <c r="B33" s="13" t="inlineStr">
        <is>
          <t>A Bachelor of Commerce (Accounting) graduate seeking a professional opportunity where I can utilize my skills in production follow-up, quality control, reporting, and data analysis, while gaining further practical experience and contributing to organizational efficiency and success.</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Atef cv .pdf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YOUSEF ABDEL-NASSER ATTIA</t>
        </is>
      </c>
    </row>
    <row r="2">
      <c r="A2" s="10">
        <f>HYPERLINK("#'الفهرس'!A1","← العودة إلى الفهرس")</f>
        <v/>
      </c>
    </row>
    <row r="4">
      <c r="A4" s="11" t="inlineStr">
        <is>
          <t>البيانات الأساسية</t>
        </is>
      </c>
    </row>
    <row r="5">
      <c r="A5" s="12" t="inlineStr">
        <is>
          <t>الكود</t>
        </is>
      </c>
      <c r="B5" s="13" t="inlineStr">
        <is>
          <t>CAND-2026-027</t>
        </is>
      </c>
    </row>
    <row r="6">
      <c r="A6" s="12" t="inlineStr">
        <is>
          <t>الاسم الكامل</t>
        </is>
      </c>
      <c r="B6" s="13" t="inlineStr">
        <is>
          <t>YOUSEF ABDEL-NASSER ATTIA</t>
        </is>
      </c>
    </row>
    <row r="7">
      <c r="A7" s="12" t="inlineStr">
        <is>
          <t>البريد الإلكتروني</t>
        </is>
      </c>
      <c r="B7" s="13" t="inlineStr">
        <is>
          <t>Myosseffnasser177@gmail.com</t>
        </is>
      </c>
    </row>
    <row r="8">
      <c r="A8" s="12" t="inlineStr">
        <is>
          <t>الهاتف</t>
        </is>
      </c>
      <c r="B8" s="13" t="inlineStr">
        <is>
          <t>'+20 1095519179</t>
        </is>
      </c>
    </row>
    <row r="9">
      <c r="A9" s="12" t="inlineStr">
        <is>
          <t>العمر</t>
        </is>
      </c>
      <c r="B9" s="13" t="inlineStr">
        <is>
          <t>—</t>
        </is>
      </c>
    </row>
    <row r="10">
      <c r="A10" s="12" t="inlineStr">
        <is>
          <t>لينكدإن</t>
        </is>
      </c>
      <c r="B10" s="13" t="inlineStr">
        <is>
          <t>—</t>
        </is>
      </c>
    </row>
    <row r="11">
      <c r="A11" s="12" t="inlineStr">
        <is>
          <t>محل الإقامة</t>
        </is>
      </c>
      <c r="B11" s="13" t="inlineStr">
        <is>
          <t>Cairo, Elmohandseen</t>
        </is>
      </c>
    </row>
    <row r="12">
      <c r="A12" s="12" t="inlineStr">
        <is>
          <t>الوظيفة الحالية</t>
        </is>
      </c>
      <c r="B12" s="13" t="inlineStr">
        <is>
          <t>Production &amp; Quality Engineer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inlineStr">
        <is>
          <t>—</t>
        </is>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Tongue), English (Intermediate)</t>
        </is>
      </c>
    </row>
    <row r="23">
      <c r="A23" s="12" t="inlineStr">
        <is>
          <t>المؤهل العلمي</t>
        </is>
      </c>
      <c r="B23" s="13" t="inlineStr">
        <is>
          <t>Bachelor of Technology — Mechatronics — Faculty of Technology and Education, Helwan University; Diploma — Graphics — Industrial Technical Institute - Graphic Department</t>
        </is>
      </c>
    </row>
    <row r="24">
      <c r="A24" s="12" t="inlineStr">
        <is>
          <t>المهارات الفنية</t>
        </is>
      </c>
      <c r="B24" s="13" t="inlineStr">
        <is>
          <t>Engineering Drawing, Sheet Metal Design, Quality Control Systems, Production Planning, Process Improvement</t>
        </is>
      </c>
    </row>
    <row r="25">
      <c r="A25" s="12" t="inlineStr">
        <is>
          <t>مهارات الحاسب</t>
        </is>
      </c>
      <c r="B25" s="13" t="inlineStr">
        <is>
          <t>SolidWorks, SolidWorks Simulation, CAD Modeling, Arduino, C++, Visual Basic, HTML, CSS, PHP, MySQL, Java, Adobe Photoshop, Adobe Illustrator, Microsoft Office Suite</t>
        </is>
      </c>
    </row>
    <row r="26">
      <c r="A26" s="12" t="inlineStr">
        <is>
          <t>المهارات الإدارية</t>
        </is>
      </c>
      <c r="B26" s="13" t="inlineStr">
        <is>
          <t>Team Leadership, Production Management</t>
        </is>
      </c>
    </row>
    <row r="27">
      <c r="A27" s="12" t="inlineStr">
        <is>
          <t>المهارات الشخصية</t>
        </is>
      </c>
      <c r="B27" s="13" t="inlineStr">
        <is>
          <t>Problem Solving, Time Management, Cross-functional Coordination</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&amp; Quality Engineer</t>
        </is>
      </c>
    </row>
    <row r="31">
      <c r="A31" s="12" t="inlineStr">
        <is>
          <t>القطاعات / الصناعات</t>
        </is>
      </c>
      <c r="B31" s="13" t="inlineStr">
        <is>
          <t>Industrial Manufacturing, Kitchen Equipment Manufacturing</t>
        </is>
      </c>
    </row>
    <row r="32">
      <c r="A32" s="12" t="inlineStr">
        <is>
          <t>الشركات السابقة</t>
        </is>
      </c>
      <c r="B32" s="13" t="inlineStr">
        <is>
          <t>D-Max for Kitchen Equipment</t>
        </is>
      </c>
    </row>
    <row r="33">
      <c r="A33" s="12" t="inlineStr">
        <is>
          <t>الملخص المهني</t>
        </is>
      </c>
      <c r="B33" s="13" t="inlineStr">
        <is>
          <t>Detail-oriented Mechatronics &amp; Production Engineer with hands-on experience in industrial manufacturing, process optimization, and quality control. Proven track record of developing and implementing comprehensive production systems and quality frameworks at D-Max for Kitchen Equipment. Proficient in SolidWorks, CAD design, sheet metal design, and automated systems. Seeking to leverage technical expertise and operational management skills to drive productivity and standards in a dynamic engineering role.</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Yousef Abdel-Nasser Attia - CV_260915_163154.pdf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HAMADA ABDELAZIZ MOHAMED ELASSAR</t>
        </is>
      </c>
    </row>
    <row r="2">
      <c r="A2" s="10">
        <f>HYPERLINK("#'الفهرس'!A1","← العودة إلى الفهرس")</f>
        <v/>
      </c>
    </row>
    <row r="4">
      <c r="A4" s="11" t="inlineStr">
        <is>
          <t>البيانات الأساسية</t>
        </is>
      </c>
    </row>
    <row r="5">
      <c r="A5" s="12" t="inlineStr">
        <is>
          <t>الكود</t>
        </is>
      </c>
      <c r="B5" s="13" t="inlineStr">
        <is>
          <t>CAND-2026-028</t>
        </is>
      </c>
    </row>
    <row r="6">
      <c r="A6" s="12" t="inlineStr">
        <is>
          <t>الاسم الكامل</t>
        </is>
      </c>
      <c r="B6" s="13" t="inlineStr">
        <is>
          <t>HAMADA ABDELAZIZ MOHAMED ELASSAR</t>
        </is>
      </c>
    </row>
    <row r="7">
      <c r="A7" s="12" t="inlineStr">
        <is>
          <t>البريد الإلكتروني</t>
        </is>
      </c>
      <c r="B7" s="13" t="inlineStr">
        <is>
          <t>elassarhamada54@gmail.com</t>
        </is>
      </c>
    </row>
    <row r="8">
      <c r="A8" s="12" t="inlineStr">
        <is>
          <t>الهاتف</t>
        </is>
      </c>
      <c r="B8" s="13" t="inlineStr">
        <is>
          <t>'+201065544394</t>
        </is>
      </c>
    </row>
    <row r="9">
      <c r="A9" s="12" t="inlineStr">
        <is>
          <t>العمر</t>
        </is>
      </c>
      <c r="B9" s="13" t="inlineStr">
        <is>
          <t>—</t>
        </is>
      </c>
    </row>
    <row r="10">
      <c r="A10" s="12" t="inlineStr">
        <is>
          <t>لينكدإن</t>
        </is>
      </c>
      <c r="B10" s="13" t="inlineStr">
        <is>
          <t>—</t>
        </is>
      </c>
    </row>
    <row r="11">
      <c r="A11" s="12" t="inlineStr">
        <is>
          <t>محل الإقامة</t>
        </is>
      </c>
      <c r="B11" s="13" t="inlineStr">
        <is>
          <t>Suez - Egypt</t>
        </is>
      </c>
    </row>
    <row r="12">
      <c r="A12" s="12" t="inlineStr">
        <is>
          <t>الوظيفة الحالية</t>
        </is>
      </c>
      <c r="B12" s="13" t="inlineStr">
        <is>
          <t>Manufacturing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25.7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English: Very Good</t>
        </is>
      </c>
    </row>
    <row r="23">
      <c r="A23" s="12" t="inlineStr">
        <is>
          <t>المؤهل العلمي</t>
        </is>
      </c>
      <c r="B23" s="13" t="inlineStr">
        <is>
          <t>Bachelor of Science — Food Science &amp; Technology — Suez Canal University, Faculty of Agriculture</t>
        </is>
      </c>
    </row>
    <row r="24">
      <c r="A24" s="12" t="inlineStr">
        <is>
          <t>المهارات الفنية</t>
        </is>
      </c>
      <c r="B24" s="13" t="inlineStr">
        <is>
          <t>Food Safety Standards (HACCP, GMP, FDA, ISO), Production Management &amp; Optimization, Quality Control &amp; Assurance, Process Improvement &amp; Efficiency, Strategic Cost Control &amp; Budgeting, Advanced Equipment Maintenance, Proactive Troubleshooting, Strategic Project Management, Key Production Metrics (Yield, Waste, Downtime), Supply Chain &amp; Inventory Coordination</t>
        </is>
      </c>
    </row>
    <row r="25">
      <c r="A25" s="12" t="inlineStr">
        <is>
          <t>مهارات الحاسب</t>
        </is>
      </c>
      <c r="B25" s="13" t="inlineStr">
        <is>
          <t>ERP Systems Management (SAP, BAAN), Advanced Microsoft Office Suite, Data Analytics &amp; Visualization Reporting, Automated Production Scheduling Software, Integrated Quality Management Platforms, Microsoft Excel</t>
        </is>
      </c>
    </row>
    <row r="26">
      <c r="A26" s="12" t="inlineStr">
        <is>
          <t>المهارات الإدارية</t>
        </is>
      </c>
      <c r="B26" s="13" t="inlineStr">
        <is>
          <t>Supervise and mentor cross-functional teams, Manage operational budgets and resource allocation, Lead safety initiatives, Supervise quality control procedures</t>
        </is>
      </c>
    </row>
    <row r="27">
      <c r="A27" s="12" t="inlineStr">
        <is>
          <t>المهارات الشخصية</t>
        </is>
      </c>
      <c r="B27" s="13" t="inlineStr">
        <is>
          <t>Transformational Leadership &amp; Team Management, Complex Problem-Solving &amp; Decision Making, Talent Development &amp; Performance Management, Analytical Critical Thinking, Effective Conflict Resolution, Strategic Planning &amp; Execution, Interpersonal Communication Excellence, Advanced Time Management, High Adaptability &amp; Organizational Flexibility, Collaborative Team Building, Leadership</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Manufacturing Manager, Production Manager, Intern</t>
        </is>
      </c>
    </row>
    <row r="31">
      <c r="A31" s="12" t="inlineStr">
        <is>
          <t>القطاعات / الصناعات</t>
        </is>
      </c>
      <c r="B31" s="13" t="inlineStr">
        <is>
          <t>Food Manufacturing, FMCG</t>
        </is>
      </c>
    </row>
    <row r="32">
      <c r="A32" s="12" t="inlineStr">
        <is>
          <t>الشركات السابقة</t>
        </is>
      </c>
      <c r="B32" s="13" t="inlineStr">
        <is>
          <t>Abdos FMCG, IFFCO Beauty Egypt, IFFCO Egypt, Al-Safdy Group</t>
        </is>
      </c>
    </row>
    <row r="33">
      <c r="A33" s="12" t="inlineStr">
        <is>
          <t>الملخص المهني</t>
        </is>
      </c>
      <c r="B33" s="13" t="inlineStr">
        <is>
          <t>Seasoned Food Manufacturing Manager with over 27 years of extensive expertise in production management, food safety, and quality assurance systems (ISO, HACCP, GMP). Demonstrated track record in leading high-performing teams to optimize production efficiency by 15%, significantly reduce operational waste, and enhance cost control strategies. Dedicated to maintaining strict compliance with international industry standards and spearheading continuous process optimization to achieve operational excellence. Proficient in managing large-scale manufacturing facilities, successfully overseeing operations with a budget exceeding $5M, and consistently driving production output growth while ensuring the highest quality standards.</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Hamada Abdelaziz Mohamed Elassar.pdf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Mahmoud Qabeel</t>
        </is>
      </c>
    </row>
    <row r="2">
      <c r="A2" s="10">
        <f>HYPERLINK("#'الفهرس'!A1","← العودة إلى الفهرس")</f>
        <v/>
      </c>
    </row>
    <row r="4">
      <c r="A4" s="11" t="inlineStr">
        <is>
          <t>البيانات الأساسية</t>
        </is>
      </c>
    </row>
    <row r="5">
      <c r="A5" s="12" t="inlineStr">
        <is>
          <t>الكود</t>
        </is>
      </c>
      <c r="B5" s="13" t="inlineStr">
        <is>
          <t>CAND-2026-029</t>
        </is>
      </c>
    </row>
    <row r="6">
      <c r="A6" s="12" t="inlineStr">
        <is>
          <t>الاسم الكامل</t>
        </is>
      </c>
      <c r="B6" s="13" t="inlineStr">
        <is>
          <t>Mahmoud Qabeel</t>
        </is>
      </c>
    </row>
    <row r="7">
      <c r="A7" s="12" t="inlineStr">
        <is>
          <t>البريد الإلكتروني</t>
        </is>
      </c>
      <c r="B7" s="13" t="inlineStr">
        <is>
          <t>mhmoudqbeel@gmail.com</t>
        </is>
      </c>
    </row>
    <row r="8">
      <c r="A8" s="12" t="inlineStr">
        <is>
          <t>الهاتف</t>
        </is>
      </c>
      <c r="B8" s="13" t="inlineStr">
        <is>
          <t>'+201090929945</t>
        </is>
      </c>
    </row>
    <row r="9">
      <c r="A9" s="12" t="inlineStr">
        <is>
          <t>العمر</t>
        </is>
      </c>
      <c r="B9" s="13" t="inlineStr">
        <is>
          <t>—</t>
        </is>
      </c>
    </row>
    <row r="10">
      <c r="A10" s="12" t="inlineStr">
        <is>
          <t>لينكدإن</t>
        </is>
      </c>
      <c r="B10" s="13" t="inlineStr">
        <is>
          <t>http://linkedin.com/in/mahmoudqbeel</t>
        </is>
      </c>
    </row>
    <row r="11">
      <c r="A11" s="12" t="inlineStr">
        <is>
          <t>محل الإقامة</t>
        </is>
      </c>
      <c r="B11" s="13" t="inlineStr">
        <is>
          <t>Menouf district, Menoufia Governorate, Egypt</t>
        </is>
      </c>
    </row>
    <row r="12">
      <c r="A12" s="12" t="inlineStr">
        <is>
          <t>الوظيفة الحالية</t>
        </is>
      </c>
      <c r="B12" s="13" t="inlineStr">
        <is>
          <t>HSE Specialist</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2.6</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t>
        </is>
      </c>
    </row>
    <row r="23">
      <c r="A23" s="12" t="inlineStr">
        <is>
          <t>المؤهل العلمي</t>
        </is>
      </c>
      <c r="B23" s="13" t="inlineStr">
        <is>
          <t>Bachelor of Science — Minufia University</t>
        </is>
      </c>
    </row>
    <row r="24">
      <c r="A24" s="12" t="inlineStr">
        <is>
          <t>المهارات الفنية</t>
        </is>
      </c>
      <c r="B24" s="13" t="inlineStr">
        <is>
          <t>Risk Assessments, Site Audits, Incident Investigations, Emergency Planning, Permit to Work (PTW), Civil Protection and Fire Prevention and Extinguish, First Aid and Facing Disasters</t>
        </is>
      </c>
    </row>
    <row r="25">
      <c r="A25" s="12" t="inlineStr">
        <is>
          <t>مهارات الحاسب</t>
        </is>
      </c>
      <c r="B25" s="13" t="inlineStr">
        <is>
          <t>—</t>
        </is>
      </c>
    </row>
    <row r="26">
      <c r="A26" s="12" t="inlineStr">
        <is>
          <t>المهارات الإدارية</t>
        </is>
      </c>
      <c r="B26" s="13" t="inlineStr">
        <is>
          <t>Compliance Monitoring, Safety Training</t>
        </is>
      </c>
    </row>
    <row r="27">
      <c r="A27" s="12" t="inlineStr">
        <is>
          <t>المهارات الشخصية</t>
        </is>
      </c>
      <c r="B27" s="13" t="inlineStr">
        <is>
          <t>Proactive, Emergency Response</t>
        </is>
      </c>
    </row>
    <row r="28">
      <c r="A28" s="12" t="inlineStr">
        <is>
          <t>مهارات أخرى</t>
        </is>
      </c>
      <c r="B28" s="13" t="inlineStr">
        <is>
          <t>OSHA, ISO 45001, ISO 14001, IOSH Managing Safely, Occupational Safety and Health Specialist</t>
        </is>
      </c>
    </row>
    <row r="29">
      <c r="A29" s="11" t="inlineStr">
        <is>
          <t>الخبرات السابقة</t>
        </is>
      </c>
    </row>
    <row r="30">
      <c r="A30" s="12" t="inlineStr">
        <is>
          <t>الوظائف السابقة</t>
        </is>
      </c>
      <c r="B30" s="13" t="inlineStr">
        <is>
          <t>HSE Specialist</t>
        </is>
      </c>
    </row>
    <row r="31">
      <c r="A31" s="12" t="inlineStr">
        <is>
          <t>القطاعات / الصناعات</t>
        </is>
      </c>
      <c r="B31" s="13" t="inlineStr">
        <is>
          <t>Textile, Denim Manufacturing</t>
        </is>
      </c>
    </row>
    <row r="32">
      <c r="A32" s="12" t="inlineStr">
        <is>
          <t>الشركات السابقة</t>
        </is>
      </c>
      <c r="B32" s="13" t="inlineStr">
        <is>
          <t>Sharabati Denim, Kazareen Textile Company</t>
        </is>
      </c>
    </row>
    <row r="33">
      <c r="A33" s="12" t="inlineStr">
        <is>
          <t>الملخص المهني</t>
        </is>
      </c>
      <c r="B33" s="13" t="inlineStr">
        <is>
          <t>HSE Specialist with 2 years of experience in developing and overseeing occupational health and safety management systems. Proven expertise in performing Risk Assessments, Site Audits, and Incident Investigations to ensure a zero-accident environment. Adept at ensuring full compliance with OSHA, ISO 45001, and ISO 14001 standards while fostering a proactive safety culture across all organizational levels.</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Mahmoud Qabeel CV.pdf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IBRAHIM HAMDY BADR</t>
        </is>
      </c>
    </row>
    <row r="2">
      <c r="A2" s="10">
        <f>HYPERLINK("#'الفهرس'!A1","← العودة إلى الفهرس")</f>
        <v/>
      </c>
    </row>
    <row r="4">
      <c r="A4" s="11" t="inlineStr">
        <is>
          <t>البيانات الأساسية</t>
        </is>
      </c>
    </row>
    <row r="5">
      <c r="A5" s="12" t="inlineStr">
        <is>
          <t>الكود</t>
        </is>
      </c>
      <c r="B5" s="13" t="inlineStr">
        <is>
          <t>CAND-2026-030</t>
        </is>
      </c>
    </row>
    <row r="6">
      <c r="A6" s="12" t="inlineStr">
        <is>
          <t>الاسم الكامل</t>
        </is>
      </c>
      <c r="B6" s="13" t="inlineStr">
        <is>
          <t>IBRAHIM HAMDY BADR</t>
        </is>
      </c>
    </row>
    <row r="7">
      <c r="A7" s="12" t="inlineStr">
        <is>
          <t>البريد الإلكتروني</t>
        </is>
      </c>
      <c r="B7" s="13" t="inlineStr">
        <is>
          <t>ibrahim.hamdy910@gmail.com</t>
        </is>
      </c>
    </row>
    <row r="8">
      <c r="A8" s="12" t="inlineStr">
        <is>
          <t>الهاتف</t>
        </is>
      </c>
      <c r="B8" s="13" t="inlineStr">
        <is>
          <t>'+201116680188</t>
        </is>
      </c>
    </row>
    <row r="9">
      <c r="A9" s="12" t="inlineStr">
        <is>
          <t>العمر</t>
        </is>
      </c>
      <c r="B9" s="13" t="inlineStr">
        <is>
          <t>—</t>
        </is>
      </c>
    </row>
    <row r="10">
      <c r="A10" s="12" t="inlineStr">
        <is>
          <t>لينكدإن</t>
        </is>
      </c>
      <c r="B10" s="13" t="inlineStr">
        <is>
          <t>—</t>
        </is>
      </c>
    </row>
    <row r="11">
      <c r="A11" s="12" t="inlineStr">
        <is>
          <t>محل الإقامة</t>
        </is>
      </c>
      <c r="B11" s="13" t="inlineStr">
        <is>
          <t>—</t>
        </is>
      </c>
    </row>
    <row r="12">
      <c r="A12" s="12" t="inlineStr">
        <is>
          <t>الوظيفة الحالية</t>
        </is>
      </c>
      <c r="B12" s="13" t="inlineStr">
        <is>
          <t>Production Manager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6.7</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t>
        </is>
      </c>
    </row>
    <row r="23">
      <c r="A23" s="12" t="inlineStr">
        <is>
          <t>المؤهل العلمي</t>
        </is>
      </c>
      <c r="B23" s="13" t="inlineStr">
        <is>
          <t>Bachelor of Science — Special Chemistry — Helwan University</t>
        </is>
      </c>
    </row>
    <row r="24">
      <c r="A24" s="12" t="inlineStr">
        <is>
          <t>المهارات الفنية</t>
        </is>
      </c>
      <c r="B24" s="13" t="inlineStr">
        <is>
          <t>Production operations, UPVC mixing department, Developing pipe formulations, Injection molding compounds, Manufacturing of pipes, PVC compounds manufacturing, Rigid / Flexible / Extrusion / Injection Grades</t>
        </is>
      </c>
    </row>
    <row r="25">
      <c r="A25" s="12" t="inlineStr">
        <is>
          <t>مهارات الحاسب</t>
        </is>
      </c>
      <c r="B25" s="13" t="inlineStr">
        <is>
          <t>—</t>
        </is>
      </c>
    </row>
    <row r="26">
      <c r="A26" s="12" t="inlineStr">
        <is>
          <t>المهارات الإدارية</t>
        </is>
      </c>
      <c r="B26" s="13" t="inlineStr">
        <is>
          <t>Leading production operations, Managing the UPVC mixing department, Coordinating between production lines and technical teams, Overseeing the manufacturing of pipes</t>
        </is>
      </c>
    </row>
    <row r="27">
      <c r="A27" s="12" t="inlineStr">
        <is>
          <t>المهارات الشخصية</t>
        </is>
      </c>
      <c r="B27" s="13" t="inlineStr">
        <is>
          <t>Work under pressure, Communication, Presentation, Public relation, Organization, Prioritization, Control and analysis of problems, Problem solving, Decision making, Critical thinking, Self-motivated, Flexible, Attention to details, Planning and organizing, Influence and convince others, Negotiation and discussion to reach agreements, Customer relationship management</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Manager, Production engineer, Quality Engineer &amp; Researcher, Quality and Production Engineer</t>
        </is>
      </c>
    </row>
    <row r="31">
      <c r="A31" s="12" t="inlineStr">
        <is>
          <t>القطاعات / الصناعات</t>
        </is>
      </c>
      <c r="B31" s="13" t="inlineStr">
        <is>
          <t>Electrical Conduits, Pipes &amp; Fittings, Plastic Manufacturing, Cable Industry</t>
        </is>
      </c>
    </row>
    <row r="32">
      <c r="A32" s="12" t="inlineStr">
        <is>
          <t>الشركات السابقة</t>
        </is>
      </c>
      <c r="B32" s="13" t="inlineStr">
        <is>
          <t>Plast Service Group (PSG), Al Tayseer Group, Alamin Company, Energya Elsewedy Helal Company, Misr El Hagaz group</t>
        </is>
      </c>
    </row>
    <row r="33">
      <c r="A33" s="12" t="inlineStr">
        <is>
          <t>الملخص المهني</t>
        </is>
      </c>
      <c r="B33" s="13" t="inlineStr">
        <is>
          <t>—</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Ibrahim Hamdy Badr.pdf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Mohamed Ahmed Mohamed Abd El - Fatah</t>
        </is>
      </c>
    </row>
    <row r="2">
      <c r="A2" s="10">
        <f>HYPERLINK("#'الفهرس'!A1","← العودة إلى الفهرس")</f>
        <v/>
      </c>
    </row>
    <row r="4">
      <c r="A4" s="11" t="inlineStr">
        <is>
          <t>البيانات الأساسية</t>
        </is>
      </c>
    </row>
    <row r="5">
      <c r="A5" s="12" t="inlineStr">
        <is>
          <t>الكود</t>
        </is>
      </c>
      <c r="B5" s="13" t="inlineStr">
        <is>
          <t>CAND-2026-031</t>
        </is>
      </c>
    </row>
    <row r="6">
      <c r="A6" s="12" t="inlineStr">
        <is>
          <t>الاسم الكامل</t>
        </is>
      </c>
      <c r="B6" s="13" t="inlineStr">
        <is>
          <t>Mohamed Ahmed Mohamed Abd El - Fatah</t>
        </is>
      </c>
    </row>
    <row r="7">
      <c r="A7" s="12" t="inlineStr">
        <is>
          <t>البريد الإلكتروني</t>
        </is>
      </c>
      <c r="B7" s="13" t="inlineStr">
        <is>
          <t>mohamedabdelfatah526834@gmail.com</t>
        </is>
      </c>
    </row>
    <row r="8">
      <c r="A8" s="12" t="inlineStr">
        <is>
          <t>الهاتف</t>
        </is>
      </c>
      <c r="B8" s="13" t="inlineStr">
        <is>
          <t>'+20 01276922154</t>
        </is>
      </c>
    </row>
    <row r="9">
      <c r="A9" s="12" t="inlineStr">
        <is>
          <t>العمر</t>
        </is>
      </c>
      <c r="B9" s="13" t="inlineStr">
        <is>
          <t>—</t>
        </is>
      </c>
    </row>
    <row r="10">
      <c r="A10" s="12" t="inlineStr">
        <is>
          <t>لينكدإن</t>
        </is>
      </c>
      <c r="B10" s="13" t="inlineStr">
        <is>
          <t>—</t>
        </is>
      </c>
    </row>
    <row r="11">
      <c r="A11" s="12" t="inlineStr">
        <is>
          <t>محل الإقامة</t>
        </is>
      </c>
      <c r="B11" s="13" t="inlineStr">
        <is>
          <t>Alexandria</t>
        </is>
      </c>
    </row>
    <row r="12">
      <c r="A12" s="12" t="inlineStr">
        <is>
          <t>الوظيفة الحالية</t>
        </is>
      </c>
      <c r="B12" s="13" t="inlineStr">
        <is>
          <t>Reserve Officer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2</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Completed</t>
        </is>
      </c>
    </row>
    <row r="21">
      <c r="A21" s="11" t="inlineStr">
        <is>
          <t>التعليم والمهارات</t>
        </is>
      </c>
    </row>
    <row r="22">
      <c r="A22" s="12" t="inlineStr">
        <is>
          <t>اللغات</t>
        </is>
      </c>
      <c r="B22" s="13" t="inlineStr">
        <is>
          <t>Arabic (Native), English (Very Good)</t>
        </is>
      </c>
    </row>
    <row r="23">
      <c r="A23" s="12" t="inlineStr">
        <is>
          <t>المؤهل العلمي</t>
        </is>
      </c>
      <c r="B23" s="13" t="inlineStr">
        <is>
          <t>Bachelor’s degree — production engineering — Faculty of engineering, Alexandria University</t>
        </is>
      </c>
    </row>
    <row r="24">
      <c r="A24" s="12" t="inlineStr">
        <is>
          <t>المهارات الفنية</t>
        </is>
      </c>
      <c r="B24" s="13" t="inlineStr">
        <is>
          <t>Welding technology and metallurgy, NDT, Visual Inspection, Ultrasonic Testing, Radiographic testing, Magnetic Testing, Liquid Penetrant Testing, Mechanical part modeling, Engineering drawings, Lean manufacturing, Six Sigma, Production Planning and Control, Value Stream Mapping, KANBAN, KAIZEN</t>
        </is>
      </c>
    </row>
    <row r="25">
      <c r="A25" s="12" t="inlineStr">
        <is>
          <t>مهارات الحاسب</t>
        </is>
      </c>
      <c r="B25" s="13" t="inlineStr">
        <is>
          <t>SolidWorks, AutoCAD, Word, Excel, PowerPoint</t>
        </is>
      </c>
    </row>
    <row r="26">
      <c r="A26" s="12" t="inlineStr">
        <is>
          <t>المهارات الإدارية</t>
        </is>
      </c>
      <c r="B26" s="13" t="inlineStr">
        <is>
          <t>Production planning, Scheduling, Capacity planning</t>
        </is>
      </c>
    </row>
    <row r="27">
      <c r="A27" s="12" t="inlineStr">
        <is>
          <t>المهارات الشخصية</t>
        </is>
      </c>
      <c r="B27" s="13" t="inlineStr">
        <is>
          <t>Teamwork, Quick Adaptation, Quick Response</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Reserve Officer</t>
        </is>
      </c>
    </row>
    <row r="31">
      <c r="A31" s="12" t="inlineStr">
        <is>
          <t>القطاعات / الصناعات</t>
        </is>
      </c>
      <c r="B31" s="13" t="inlineStr">
        <is>
          <t>Production &amp; Industrial Engineering</t>
        </is>
      </c>
    </row>
    <row r="32">
      <c r="A32" s="12" t="inlineStr">
        <is>
          <t>الشركات السابقة</t>
        </is>
      </c>
      <c r="B32" s="13" t="inlineStr">
        <is>
          <t>Egyptian Armed Forces</t>
        </is>
      </c>
    </row>
    <row r="33">
      <c r="A33" s="12" t="inlineStr">
        <is>
          <t>الملخص المهني</t>
        </is>
      </c>
      <c r="B33" s="13" t="inlineStr">
        <is>
          <t>A motivated individual who is looking for an opportunity with a strong passion for industry and production field, and I'm eager to learn from experienced professionals in the field.</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Mohamed Ahmmed Mohamed Abd El-Fatah.pdf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Ahmed Adel Hassan</t>
        </is>
      </c>
    </row>
    <row r="2">
      <c r="A2" s="10">
        <f>HYPERLINK("#'الفهرس'!A1","← العودة إلى الفهرس")</f>
        <v/>
      </c>
    </row>
    <row r="4">
      <c r="A4" s="11" t="inlineStr">
        <is>
          <t>البيانات الأساسية</t>
        </is>
      </c>
    </row>
    <row r="5">
      <c r="A5" s="12" t="inlineStr">
        <is>
          <t>الكود</t>
        </is>
      </c>
      <c r="B5" s="13" t="inlineStr">
        <is>
          <t>CAND-2026-032</t>
        </is>
      </c>
    </row>
    <row r="6">
      <c r="A6" s="12" t="inlineStr">
        <is>
          <t>الاسم الكامل</t>
        </is>
      </c>
      <c r="B6" s="13" t="inlineStr">
        <is>
          <t>Ahmed Adel Hassan</t>
        </is>
      </c>
    </row>
    <row r="7">
      <c r="A7" s="12" t="inlineStr">
        <is>
          <t>البريد الإلكتروني</t>
        </is>
      </c>
      <c r="B7" s="13" t="inlineStr">
        <is>
          <t>engdola155@gmail.com</t>
        </is>
      </c>
    </row>
    <row r="8">
      <c r="A8" s="12" t="inlineStr">
        <is>
          <t>الهاتف</t>
        </is>
      </c>
      <c r="B8" s="13" t="inlineStr">
        <is>
          <t>'+201149253343</t>
        </is>
      </c>
    </row>
    <row r="9">
      <c r="A9" s="12" t="inlineStr">
        <is>
          <t>العمر</t>
        </is>
      </c>
      <c r="B9" s="13" t="inlineStr">
        <is>
          <t>—</t>
        </is>
      </c>
    </row>
    <row r="10">
      <c r="A10" s="12" t="inlineStr">
        <is>
          <t>لينكدإن</t>
        </is>
      </c>
      <c r="B10" s="13" t="inlineStr">
        <is>
          <t>https://www.linkedin.com/in/ahmed-adel-a5068a33b/</t>
        </is>
      </c>
    </row>
    <row r="11">
      <c r="A11" s="12" t="inlineStr">
        <is>
          <t>محل الإقامة</t>
        </is>
      </c>
      <c r="B11" s="13" t="inlineStr">
        <is>
          <t>Cairo, Egypt</t>
        </is>
      </c>
    </row>
    <row r="12">
      <c r="A12" s="12" t="inlineStr">
        <is>
          <t>الوظيفة الحالية</t>
        </is>
      </c>
      <c r="B12" s="13" t="inlineStr">
        <is>
          <t>Production Engineer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1.2</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English: B2 (Intermediate), Arabic: Native</t>
        </is>
      </c>
    </row>
    <row r="23">
      <c r="A23" s="12" t="inlineStr">
        <is>
          <t>المؤهل العلمي</t>
        </is>
      </c>
      <c r="B23" s="13" t="inlineStr">
        <is>
          <t>Bachelor of Science — Chemical Engineering — Higher Technological Institute, Egypt</t>
        </is>
      </c>
    </row>
    <row r="24">
      <c r="A24" s="12" t="inlineStr">
        <is>
          <t>المهارات الفنية</t>
        </is>
      </c>
      <c r="B24" s="13" t="inlineStr">
        <is>
          <t>Process Optimization, Water Treatment, Industrial Manufacturing, Process Safety, Quality Control, Lab Analysis, pH Measurement, Titration, Sample Analysis, Food Safety Compliance, Chemical Process Simulation, Process Control, Heat Transfer</t>
        </is>
      </c>
    </row>
    <row r="25">
      <c r="A25" s="12" t="inlineStr">
        <is>
          <t>مهارات الحاسب</t>
        </is>
      </c>
      <c r="B25" s="13" t="inlineStr">
        <is>
          <t>Aspen HYSYS, Polymath, Microsoft Office (Word, Excel, PowerPoint), Excel</t>
        </is>
      </c>
    </row>
    <row r="26">
      <c r="A26" s="12" t="inlineStr">
        <is>
          <t>المهارات الإدارية</t>
        </is>
      </c>
      <c r="B26" s="13" t="inlineStr">
        <is>
          <t>Operational Process Improvement, Regulatory Compliance</t>
        </is>
      </c>
    </row>
    <row r="27">
      <c r="A27" s="12" t="inlineStr">
        <is>
          <t>المهارات الشخصية</t>
        </is>
      </c>
      <c r="B27" s="13" t="inlineStr">
        <is>
          <t>Teamwork, Communication</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Engineer, Intern</t>
        </is>
      </c>
    </row>
    <row r="31">
      <c r="A31" s="12" t="inlineStr">
        <is>
          <t>القطاعات / الصناعات</t>
        </is>
      </c>
      <c r="B31" s="13" t="inlineStr">
        <is>
          <t>Juice Manufacturing, Water Treatment, Food Industry, Ceramic and Porcelain Manufacturing</t>
        </is>
      </c>
    </row>
    <row r="32">
      <c r="A32" s="12" t="inlineStr">
        <is>
          <t>الشركات السابقة</t>
        </is>
      </c>
      <c r="B32" s="13" t="inlineStr">
        <is>
          <t>Juice Manufacturing Plant, Water Treatment Company, Food Industry Factory, Ceramic and Porcelain Factory</t>
        </is>
      </c>
    </row>
    <row r="33">
      <c r="A33" s="12" t="inlineStr">
        <is>
          <t>الملخص المهني</t>
        </is>
      </c>
      <c r="B33" s="13" t="inlineStr">
        <is>
          <t>Chemical Engineer with hands-on experience in process optimization, water treatment, and industrial manufacturing. Skilled in advanced simulation software, including Aspen HYSYS and Polymath, with a focus on increasing efficiency, reducing waste, and enhancing process safety. Proven ability to improve operational processes, maintain regulatory compliance, and ensure high-quality production standards. Strong background in utilizing data analysis and process control systems to meet business goals and sustainability objectives.</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Ahmed adel (chemical engineer).pdf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MINA HANNA SHAFIK</t>
        </is>
      </c>
    </row>
    <row r="2">
      <c r="A2" s="10">
        <f>HYPERLINK("#'الفهرس'!A1","← العودة إلى الفهرس")</f>
        <v/>
      </c>
    </row>
    <row r="4">
      <c r="A4" s="11" t="inlineStr">
        <is>
          <t>البيانات الأساسية</t>
        </is>
      </c>
    </row>
    <row r="5">
      <c r="A5" s="12" t="inlineStr">
        <is>
          <t>الكود</t>
        </is>
      </c>
      <c r="B5" s="13" t="inlineStr">
        <is>
          <t>CAND-2026-033</t>
        </is>
      </c>
    </row>
    <row r="6">
      <c r="A6" s="12" t="inlineStr">
        <is>
          <t>الاسم الكامل</t>
        </is>
      </c>
      <c r="B6" s="13" t="inlineStr">
        <is>
          <t>MINA HANNA SHAFIK</t>
        </is>
      </c>
    </row>
    <row r="7">
      <c r="A7" s="12" t="inlineStr">
        <is>
          <t>البريد الإلكتروني</t>
        </is>
      </c>
      <c r="B7" s="13" t="inlineStr">
        <is>
          <t>minah2059@gmail.com</t>
        </is>
      </c>
    </row>
    <row r="8">
      <c r="A8" s="12" t="inlineStr">
        <is>
          <t>الهاتف</t>
        </is>
      </c>
      <c r="B8" s="13" t="inlineStr">
        <is>
          <t>(+2) 01279249149</t>
        </is>
      </c>
    </row>
    <row r="9">
      <c r="A9" s="12" t="inlineStr">
        <is>
          <t>العمر</t>
        </is>
      </c>
      <c r="B9" s="13" t="n">
        <v>31</v>
      </c>
    </row>
    <row r="10">
      <c r="A10" s="12" t="inlineStr">
        <is>
          <t>لينكدإن</t>
        </is>
      </c>
      <c r="B10" s="13" t="inlineStr">
        <is>
          <t>—</t>
        </is>
      </c>
    </row>
    <row r="11">
      <c r="A11" s="12" t="inlineStr">
        <is>
          <t>محل الإقامة</t>
        </is>
      </c>
      <c r="B11" s="13" t="inlineStr">
        <is>
          <t>New El Marg , Cairo ,Egypt</t>
        </is>
      </c>
    </row>
    <row r="12">
      <c r="A12" s="12" t="inlineStr">
        <is>
          <t>الوظيفة الحالية</t>
        </is>
      </c>
      <c r="B12" s="13" t="inlineStr">
        <is>
          <t>Production engineer</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8.699999999999999</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Married</t>
        </is>
      </c>
    </row>
    <row r="20">
      <c r="A20" s="12" t="inlineStr">
        <is>
          <t>الموقف من التجنيد</t>
        </is>
      </c>
      <c r="B20" s="13" t="inlineStr">
        <is>
          <t>Exempted</t>
        </is>
      </c>
    </row>
    <row r="21">
      <c r="A21" s="11" t="inlineStr">
        <is>
          <t>التعليم والمهارات</t>
        </is>
      </c>
    </row>
    <row r="22">
      <c r="A22" s="12" t="inlineStr">
        <is>
          <t>اللغات</t>
        </is>
      </c>
      <c r="B22" s="13" t="inlineStr">
        <is>
          <t>Arabic (Mother tongue), English (Very good (Spoken &amp; Written))</t>
        </is>
      </c>
    </row>
    <row r="23">
      <c r="A23" s="12" t="inlineStr">
        <is>
          <t>المؤهل العلمي</t>
        </is>
      </c>
      <c r="B23" s="13" t="inlineStr">
        <is>
          <t>Bachelor's — Computer science in programming Engineering — Minya University</t>
        </is>
      </c>
    </row>
    <row r="24">
      <c r="A24" s="12" t="inlineStr">
        <is>
          <t>المهارات الفنية</t>
        </is>
      </c>
      <c r="B24" s="13" t="inlineStr">
        <is>
          <t>thermoform process, plastic sheet extrusion production line, plastic thermoforming machines, quality control</t>
        </is>
      </c>
    </row>
    <row r="25">
      <c r="A25" s="12" t="inlineStr">
        <is>
          <t>مهارات الحاسب</t>
        </is>
      </c>
      <c r="B25" s="13" t="inlineStr">
        <is>
          <t>—</t>
        </is>
      </c>
    </row>
    <row r="26">
      <c r="A26" s="12" t="inlineStr">
        <is>
          <t>المهارات الإدارية</t>
        </is>
      </c>
      <c r="B26" s="13" t="inlineStr">
        <is>
          <t>Train, direct and supervise other construction inspectors, Supervise the production</t>
        </is>
      </c>
    </row>
    <row r="27">
      <c r="A27" s="12" t="inlineStr">
        <is>
          <t>المهارات الشخصية</t>
        </is>
      </c>
      <c r="B27" s="13" t="inlineStr">
        <is>
          <t>—</t>
        </is>
      </c>
    </row>
    <row r="28">
      <c r="A28" s="12" t="inlineStr">
        <is>
          <t>مهارات أخرى</t>
        </is>
      </c>
      <c r="B28" s="13" t="inlineStr">
        <is>
          <t>programming Engineering</t>
        </is>
      </c>
    </row>
    <row r="29">
      <c r="A29" s="11" t="inlineStr">
        <is>
          <t>الخبرات السابقة</t>
        </is>
      </c>
    </row>
    <row r="30">
      <c r="A30" s="12" t="inlineStr">
        <is>
          <t>الوظائف السابقة</t>
        </is>
      </c>
      <c r="B30" s="13" t="inlineStr">
        <is>
          <t>Production engineer</t>
        </is>
      </c>
    </row>
    <row r="31">
      <c r="A31" s="12" t="inlineStr">
        <is>
          <t>القطاعات / الصناعات</t>
        </is>
      </c>
      <c r="B31" s="13" t="inlineStr">
        <is>
          <t>Plastic Manufacturing</t>
        </is>
      </c>
    </row>
    <row r="32">
      <c r="A32" s="12" t="inlineStr">
        <is>
          <t>الشركات السابقة</t>
        </is>
      </c>
      <c r="B32" s="13" t="inlineStr">
        <is>
          <t>Rabboni plast</t>
        </is>
      </c>
    </row>
    <row r="33">
      <c r="A33" s="12" t="inlineStr">
        <is>
          <t>الملخص المهني</t>
        </is>
      </c>
      <c r="B33" s="13" t="inlineStr">
        <is>
          <t>—</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Mina Hanna.pdf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Mahmoud Elkorashi</t>
        </is>
      </c>
    </row>
    <row r="2">
      <c r="A2" s="10">
        <f>HYPERLINK("#'الفهرس'!A1","← العودة إلى الفهرس")</f>
        <v/>
      </c>
    </row>
    <row r="4">
      <c r="A4" s="11" t="inlineStr">
        <is>
          <t>البيانات الأساسية</t>
        </is>
      </c>
    </row>
    <row r="5">
      <c r="A5" s="12" t="inlineStr">
        <is>
          <t>الكود</t>
        </is>
      </c>
      <c r="B5" s="13" t="inlineStr">
        <is>
          <t>CAND-2026-034</t>
        </is>
      </c>
    </row>
    <row r="6">
      <c r="A6" s="12" t="inlineStr">
        <is>
          <t>الاسم الكامل</t>
        </is>
      </c>
      <c r="B6" s="13" t="inlineStr">
        <is>
          <t>Mahmoud Elkorashi</t>
        </is>
      </c>
    </row>
    <row r="7">
      <c r="A7" s="12" t="inlineStr">
        <is>
          <t>البريد الإلكتروني</t>
        </is>
      </c>
      <c r="B7" s="13" t="inlineStr">
        <is>
          <t>mahmoudelkorashi269@gmail.com</t>
        </is>
      </c>
    </row>
    <row r="8">
      <c r="A8" s="12" t="inlineStr">
        <is>
          <t>الهاتف</t>
        </is>
      </c>
      <c r="B8" s="13" t="inlineStr">
        <is>
          <t>'+20 109 747 6182</t>
        </is>
      </c>
    </row>
    <row r="9">
      <c r="A9" s="12" t="inlineStr">
        <is>
          <t>العمر</t>
        </is>
      </c>
      <c r="B9" s="13" t="inlineStr">
        <is>
          <t>—</t>
        </is>
      </c>
    </row>
    <row r="10">
      <c r="A10" s="12" t="inlineStr">
        <is>
          <t>لينكدإن</t>
        </is>
      </c>
      <c r="B10" s="13" t="inlineStr">
        <is>
          <t>linkedin.com/in/mahmoud-elqurashi-74a180196</t>
        </is>
      </c>
    </row>
    <row r="11">
      <c r="A11" s="12" t="inlineStr">
        <is>
          <t>محل الإقامة</t>
        </is>
      </c>
      <c r="B11" s="13" t="inlineStr">
        <is>
          <t>10th of Ramadan City, Sharkia, Egypt</t>
        </is>
      </c>
    </row>
    <row r="12">
      <c r="A12" s="12" t="inlineStr">
        <is>
          <t>الوظيفة الحالية</t>
        </is>
      </c>
      <c r="B12" s="13" t="inlineStr">
        <is>
          <t>Laboratory Chemist | QA/QC Specialist</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5</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
        </is>
      </c>
    </row>
    <row r="21">
      <c r="A21" s="11" t="inlineStr">
        <is>
          <t>التعليم والمهارات</t>
        </is>
      </c>
    </row>
    <row r="22">
      <c r="A22" s="12" t="inlineStr">
        <is>
          <t>اللغات</t>
        </is>
      </c>
      <c r="B22" s="13" t="inlineStr">
        <is>
          <t>Arabic: Native, English: Professional Working Proficiency</t>
        </is>
      </c>
    </row>
    <row r="23">
      <c r="A23" s="12" t="inlineStr">
        <is>
          <t>المؤهل العلمي</t>
        </is>
      </c>
      <c r="B23" s="13" t="inlineStr">
        <is>
          <t>B.Sc. — Chemistry and Microbiology — Al-Azhar University; Postgraduate Diploma — Biochemistry — Beni-Suef University</t>
        </is>
      </c>
    </row>
    <row r="24">
      <c r="A24" s="12" t="inlineStr">
        <is>
          <t>المهارات الفنية</t>
        </is>
      </c>
      <c r="B24" s="13" t="inlineStr">
        <is>
          <t>Laboratory Testing, Hydrostatic Pressure Testing, Short-Term Pressure Testing, Oven / Heat Reversion Testing, Impact Resistance Testing, Tensile Testing, Peel Decohesion, Crush Decohesion, MFR/MFI, Density, DSC, OIT, Carbon Black Content, Carbon Black Dispersion, Dimensional Inspection, Visual Inspection, Quality Engineering, Product Qualification, Product Validation, Polymer Compounding, Polymer Formulation, Extrusion, Injection Molding, Color Matching, Chemical Analysis</t>
        </is>
      </c>
    </row>
    <row r="25">
      <c r="A25" s="12" t="inlineStr">
        <is>
          <t>مهارات الحاسب</t>
        </is>
      </c>
      <c r="B25" s="13" t="inlineStr">
        <is>
          <t>—</t>
        </is>
      </c>
    </row>
    <row r="26">
      <c r="A26" s="12" t="inlineStr">
        <is>
          <t>المهارات الإدارية</t>
        </is>
      </c>
      <c r="B26" s="13" t="inlineStr">
        <is>
          <t>Production Support, Nonconformity Investigation, Process Monitoring, Continuous Improvement, Production Monitoring, Production Coordination, Production Planning, Audit Preparation, Inspection Coordination</t>
        </is>
      </c>
    </row>
    <row r="27">
      <c r="A27" s="12" t="inlineStr">
        <is>
          <t>المهارات الشخصية</t>
        </is>
      </c>
      <c r="B27" s="13" t="inlineStr">
        <is>
          <t>Root Cause Analysis, Corrective and Preventive Actions, Troubleshooting, Process Optimization, Collaboration</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Laboratory Chemist | QA/QC Specialist, Production Chemist, Laboratory Chemist, PART-TIME QUALITY ENGINEER, Chemist – Medical Analysis</t>
        </is>
      </c>
    </row>
    <row r="31">
      <c r="A31" s="12" t="inlineStr">
        <is>
          <t>القطاعات / الصناعات</t>
        </is>
      </c>
      <c r="B31" s="13" t="inlineStr">
        <is>
          <t>Plastic Manufacturing, Piping Systems, Luggage Manufacturing, Medical Analysis</t>
        </is>
      </c>
    </row>
    <row r="32">
      <c r="A32" s="12" t="inlineStr">
        <is>
          <t>الشركات السابقة</t>
        </is>
      </c>
      <c r="B32" s="13" t="inlineStr">
        <is>
          <t>CL PIPE &amp; PLASTIC COMPANY, AMAN PVC, AL ROWAD FOR PLASTIC PIPES, AL SHAMS LABORATORIES</t>
        </is>
      </c>
    </row>
    <row r="33">
      <c r="A33" s="12" t="inlineStr">
        <is>
          <t>الملخص المهني</t>
        </is>
      </c>
      <c r="B33" s="13" t="inlineStr">
        <is>
          <t>Laboratory Chemist, QA/QC Specialist, and Quality Engineer with over 4 years of experience in plastic manufacturing, laboratory testing, quality control, polymer compounding, formulation development, production support, product qualification, and product compliance.</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MAHMOUD_ELQURASHI_Resume QC-QA-Laboratory.pdf</t>
        </is>
      </c>
    </row>
    <row r="37">
      <c r="A37" s="12" t="inlineStr">
        <is>
          <t>تاريخ الإضافة</t>
        </is>
      </c>
      <c r="B37" s="13" t="inlineStr">
        <is>
          <t>2026-09-27 20:53</t>
        </is>
      </c>
    </row>
  </sheetData>
  <mergeCells count="6">
    <mergeCell ref="A4:B4"/>
    <mergeCell ref="A21:B21"/>
    <mergeCell ref="A2:B2"/>
    <mergeCell ref="A29:B29"/>
    <mergeCell ref="A1:B1"/>
    <mergeCell ref="A34:B34"/>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ALI AHMED</t>
        </is>
      </c>
    </row>
    <row r="2">
      <c r="A2" s="10">
        <f>HYPERLINK("#'الفهرس'!A1","← العودة إلى الفهرس")</f>
        <v/>
      </c>
    </row>
    <row r="4">
      <c r="A4" s="11" t="inlineStr">
        <is>
          <t>البيانات الأساسية</t>
        </is>
      </c>
    </row>
    <row r="5">
      <c r="A5" s="12" t="inlineStr">
        <is>
          <t>الكود</t>
        </is>
      </c>
      <c r="B5" s="13" t="inlineStr">
        <is>
          <t>CAND-2026-035</t>
        </is>
      </c>
    </row>
    <row r="6">
      <c r="A6" s="12" t="inlineStr">
        <is>
          <t>الاسم الكامل</t>
        </is>
      </c>
      <c r="B6" s="13" t="inlineStr">
        <is>
          <t>ALI AHMED</t>
        </is>
      </c>
    </row>
    <row r="7">
      <c r="A7" s="12" t="inlineStr">
        <is>
          <t>البريد الإلكتروني</t>
        </is>
      </c>
      <c r="B7" s="13" t="inlineStr">
        <is>
          <t>ali255422@gmail.com</t>
        </is>
      </c>
    </row>
    <row r="8">
      <c r="A8" s="12" t="inlineStr">
        <is>
          <t>الهاتف</t>
        </is>
      </c>
      <c r="B8" s="13" t="inlineStr">
        <is>
          <t>'+20 120 374 0240</t>
        </is>
      </c>
    </row>
    <row r="9">
      <c r="A9" s="12" t="inlineStr">
        <is>
          <t>العمر</t>
        </is>
      </c>
      <c r="B9" s="13" t="inlineStr">
        <is>
          <t>—</t>
        </is>
      </c>
    </row>
    <row r="10">
      <c r="A10" s="12" t="inlineStr">
        <is>
          <t>لينكدإن</t>
        </is>
      </c>
      <c r="B10" s="13" t="inlineStr">
        <is>
          <t>—</t>
        </is>
      </c>
    </row>
    <row r="11">
      <c r="A11" s="12" t="inlineStr">
        <is>
          <t>محل الإقامة</t>
        </is>
      </c>
      <c r="B11" s="13" t="inlineStr">
        <is>
          <t>Cairo, Egypt</t>
        </is>
      </c>
    </row>
    <row r="12">
      <c r="A12" s="12" t="inlineStr">
        <is>
          <t>الوظيفة الحالية</t>
        </is>
      </c>
      <c r="B12" s="13" t="inlineStr">
        <is>
          <t>Production Manager &amp; PVC Compound Consultant Chemist</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4.1</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t>
        </is>
      </c>
    </row>
    <row r="20">
      <c r="A20" s="12" t="inlineStr">
        <is>
          <t>الموقف من التجنيد</t>
        </is>
      </c>
      <c r="B20" s="13" t="inlineStr">
        <is>
          <t>Temporary Exemption</t>
        </is>
      </c>
    </row>
    <row r="21">
      <c r="A21" s="11" t="inlineStr">
        <is>
          <t>التعليم والمهارات</t>
        </is>
      </c>
    </row>
    <row r="22">
      <c r="A22" s="12" t="inlineStr">
        <is>
          <t>اللغات</t>
        </is>
      </c>
      <c r="B22" s="13" t="inlineStr">
        <is>
          <t>English Language – Very Good</t>
        </is>
      </c>
    </row>
    <row r="23">
      <c r="A23" s="12" t="inlineStr">
        <is>
          <t>المؤهل العلمي</t>
        </is>
      </c>
      <c r="B23" s="13" t="inlineStr">
        <is>
          <t>Bachelor’s Degree — Pure &amp; Applied Chemistry — Faculty of Science – Helwan University</t>
        </is>
      </c>
    </row>
    <row r="24">
      <c r="A24" s="12" t="inlineStr">
        <is>
          <t>المهارات الفنية</t>
        </is>
      </c>
      <c r="B24" s="13" t="inlineStr">
        <is>
          <t>PVC Compound Manufacturing, Production Management, Process Optimization, Industrial Chemistry, Quality Control &amp; Assurance, Raw Material Testing, Analytical Chemistry, Cost Reduction, Waste Reduction, Manufacturing Operations, Color Development &amp; Testing, Roll Mill Operations, Process Troubleshooting, Continuous Improvement, Mixing, Extrusion, Printing Processes, Quality Standards, Chemical and Analytical Laboratory Tests, Inventory Control, Food Safety, Natural Products Drug Development, Preclinical Trial</t>
        </is>
      </c>
    </row>
    <row r="25">
      <c r="A25" s="12" t="inlineStr">
        <is>
          <t>مهارات الحاسب</t>
        </is>
      </c>
      <c r="B25" s="13" t="inlineStr">
        <is>
          <t>SAP PP, Microsoft Office, ICDL</t>
        </is>
      </c>
    </row>
    <row r="26">
      <c r="A26" s="12" t="inlineStr">
        <is>
          <t>المهارات الإدارية</t>
        </is>
      </c>
      <c r="B26" s="13" t="inlineStr">
        <is>
          <t>Production Planning, Team Leadership, Supervising Production Operations, Coordinating with Production Teams, Formulation Development, Consultation Services, Customer Relationship Management, Sales and Marketing Activities, Pharmaceutical Product Management</t>
        </is>
      </c>
    </row>
    <row r="27">
      <c r="A27" s="12" t="inlineStr">
        <is>
          <t>المهارات الشخصية</t>
        </is>
      </c>
      <c r="B27" s="13" t="inlineStr">
        <is>
          <t>Problem Solving, Leadership &amp; Team Management, Communication Skills, Production Monitoring, Manufacturing Process Improvement, Time Management, Quality Assurance</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Production Manager &amp; PVC Compound Consultant Chemist, Production Chemist, PVC Compound Consultant Chemist, Analytical Chemist, Marketing Representative, Pharmaceutical Chemist</t>
        </is>
      </c>
    </row>
    <row r="31">
      <c r="A31" s="12" t="inlineStr">
        <is>
          <t>القطاعات / الصناعات</t>
        </is>
      </c>
      <c r="B31" s="13" t="inlineStr">
        <is>
          <t>Plastics and Chemical Manufacturing Industry, Pharmaceutical Industry, Paints Industry, Packaging Industry, Paper Industry</t>
        </is>
      </c>
    </row>
    <row r="32">
      <c r="A32" s="12" t="inlineStr">
        <is>
          <t>الشركات السابقة</t>
        </is>
      </c>
      <c r="B32" s="13" t="inlineStr">
        <is>
          <t>The Egyptian Company for Manufacturing Plastics &amp; Its Supplies (EPM), El Watania Plast Company, Medical Analysis Laboratory, Orman Company, Pharmacy</t>
        </is>
      </c>
    </row>
    <row r="33">
      <c r="A33" s="12" t="inlineStr">
        <is>
          <t>الملخص المهني</t>
        </is>
      </c>
      <c r="B33" s="13" t="inlineStr">
        <is>
          <t>Results-driven Production and Industrial Chemist with strong experience in PVC compound manufacturing, production management, analytical chemistry, and process improvement within the plastics and chemical manufacturing industry. Experienced in supervising production operations, developing PVC formulations, reducing waste, improving product quality, and optimizing manufacturing efficiency. Skilled in production planning, troubleshooting, quality control, raw material testing, and leading production teams. Possesses strong knowledge of Lean Manufacturing, Six Sigma principles, SAP PP, and industrial process optimization, with a proven ability to improve operational stability and manufacturing performance.</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ali ahmed.pdf</t>
        </is>
      </c>
    </row>
    <row r="37">
      <c r="A37" s="12" t="inlineStr">
        <is>
          <t>تاريخ الإضافة</t>
        </is>
      </c>
      <c r="B37" s="13" t="inlineStr">
        <is>
          <t>2026-09-28 11:23</t>
        </is>
      </c>
    </row>
  </sheetData>
  <mergeCells count="6">
    <mergeCell ref="A4:B4"/>
    <mergeCell ref="A21:B21"/>
    <mergeCell ref="A2:B2"/>
    <mergeCell ref="A29:B29"/>
    <mergeCell ref="A1:B1"/>
    <mergeCell ref="A34:B34"/>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37"/>
  <sheetViews>
    <sheetView showGridLines="1" workbookViewId="0">
      <selection activeCell="A1" sqref="A1"/>
    </sheetView>
  </sheetViews>
  <sheetFormatPr baseColWidth="8" defaultRowHeight="15"/>
  <cols>
    <col width="28" customWidth="1" min="1" max="1"/>
    <col width="78" customWidth="1" min="2" max="2"/>
  </cols>
  <sheetData>
    <row r="1" ht="26" customHeight="1">
      <c r="A1" s="9" t="inlineStr">
        <is>
          <t>ملف المرشح — Ahmed abd el-rady mousa Ali</t>
        </is>
      </c>
    </row>
    <row r="2">
      <c r="A2" s="10">
        <f>HYPERLINK("#'الفهرس'!A1","← العودة إلى الفهرس")</f>
        <v/>
      </c>
    </row>
    <row r="4">
      <c r="A4" s="11" t="inlineStr">
        <is>
          <t>البيانات الأساسية</t>
        </is>
      </c>
    </row>
    <row r="5">
      <c r="A5" s="12" t="inlineStr">
        <is>
          <t>الكود</t>
        </is>
      </c>
      <c r="B5" s="13" t="inlineStr">
        <is>
          <t>CAND-2026-036</t>
        </is>
      </c>
    </row>
    <row r="6">
      <c r="A6" s="12" t="inlineStr">
        <is>
          <t>الاسم الكامل</t>
        </is>
      </c>
      <c r="B6" s="13" t="inlineStr">
        <is>
          <t>Ahmed abd el-rady mousa Ali</t>
        </is>
      </c>
    </row>
    <row r="7">
      <c r="A7" s="12" t="inlineStr">
        <is>
          <t>البريد الإلكتروني</t>
        </is>
      </c>
      <c r="B7" s="13" t="inlineStr">
        <is>
          <t>chemistahmedrady1291987@gmail.com</t>
        </is>
      </c>
    </row>
    <row r="8">
      <c r="A8" s="12" t="inlineStr">
        <is>
          <t>الهاتف</t>
        </is>
      </c>
      <c r="B8" s="13" t="inlineStr">
        <is>
          <t>0552272171</t>
        </is>
      </c>
    </row>
    <row r="9">
      <c r="A9" s="12" t="inlineStr">
        <is>
          <t>العمر</t>
        </is>
      </c>
      <c r="B9" s="13" t="n">
        <v>36</v>
      </c>
    </row>
    <row r="10">
      <c r="A10" s="12" t="inlineStr">
        <is>
          <t>لينكدإن</t>
        </is>
      </c>
      <c r="B10" s="13" t="inlineStr">
        <is>
          <t>—</t>
        </is>
      </c>
    </row>
    <row r="11">
      <c r="A11" s="12" t="inlineStr">
        <is>
          <t>محل الإقامة</t>
        </is>
      </c>
      <c r="B11" s="13" t="inlineStr">
        <is>
          <t>El-Zagazig, Sharqiah, Egypt</t>
        </is>
      </c>
    </row>
    <row r="12">
      <c r="A12" s="12" t="inlineStr">
        <is>
          <t>الوظيفة الحالية</t>
        </is>
      </c>
      <c r="B12" s="13" t="inlineStr">
        <is>
          <t>Head of production management</t>
        </is>
      </c>
    </row>
    <row r="13">
      <c r="A13" s="12" t="inlineStr">
        <is>
          <t>الوظيفة المتقدم لها</t>
        </is>
      </c>
      <c r="B13" s="13" t="inlineStr">
        <is>
          <t>—</t>
        </is>
      </c>
    </row>
    <row r="14">
      <c r="A14" s="12" t="inlineStr">
        <is>
          <t>الحالة</t>
        </is>
      </c>
      <c r="B14" s="13" t="inlineStr">
        <is>
          <t>New</t>
        </is>
      </c>
    </row>
    <row r="15">
      <c r="A15" s="12" t="inlineStr">
        <is>
          <t>التقييم</t>
        </is>
      </c>
      <c r="B15" s="13" t="inlineStr">
        <is>
          <t>—</t>
        </is>
      </c>
    </row>
    <row r="16">
      <c r="A16" s="12" t="inlineStr">
        <is>
          <t>سنوات الخبرة</t>
        </is>
      </c>
      <c r="B16" s="13" t="n">
        <v>13.4</v>
      </c>
    </row>
    <row r="17">
      <c r="A17" s="12" t="inlineStr">
        <is>
          <t>الراتب المتوقع</t>
        </is>
      </c>
      <c r="B17" s="13" t="inlineStr">
        <is>
          <t>—</t>
        </is>
      </c>
    </row>
    <row r="18">
      <c r="A18" s="12" t="inlineStr">
        <is>
          <t>فترة الإخطار (بالأيام)</t>
        </is>
      </c>
      <c r="B18" s="13" t="inlineStr">
        <is>
          <t>—</t>
        </is>
      </c>
    </row>
    <row r="19">
      <c r="A19" s="12" t="inlineStr">
        <is>
          <t>الحالة الاجتماعية</t>
        </is>
      </c>
      <c r="B19" s="13" t="inlineStr">
        <is>
          <t>Engaged</t>
        </is>
      </c>
    </row>
    <row r="20">
      <c r="A20" s="12" t="inlineStr">
        <is>
          <t>الموقف من التجنيد</t>
        </is>
      </c>
      <c r="B20" s="13" t="inlineStr">
        <is>
          <t>Delayed</t>
        </is>
      </c>
    </row>
    <row r="21">
      <c r="A21" s="11" t="inlineStr">
        <is>
          <t>التعليم والمهارات</t>
        </is>
      </c>
    </row>
    <row r="22">
      <c r="A22" s="12" t="inlineStr">
        <is>
          <t>اللغات</t>
        </is>
      </c>
      <c r="B22" s="13" t="inlineStr">
        <is>
          <t>English (Very good)</t>
        </is>
      </c>
    </row>
    <row r="23">
      <c r="A23" s="12" t="inlineStr">
        <is>
          <t>المؤهل العلمي</t>
        </is>
      </c>
      <c r="B23" s="13" t="inlineStr">
        <is>
          <t>Bachelor of Science — Chemistry &amp; Botany — zagazig University, Egypt</t>
        </is>
      </c>
    </row>
    <row r="24">
      <c r="A24" s="12" t="inlineStr">
        <is>
          <t>المهارات الفنية</t>
        </is>
      </c>
      <c r="B24" s="13" t="inlineStr">
        <is>
          <t>Production Management, Maintenance Management, Planning, Making PVC and PPR batches, Mechanical maintenance, Chemical structure of acrylic and artificial marble, Shift supervision, Glass chemistry, Raw materials and Batch, Furnace and Refractories, Glass melting, Quality assurance and control in chemical analysis, QC Department</t>
        </is>
      </c>
    </row>
    <row r="25">
      <c r="A25" s="12" t="inlineStr">
        <is>
          <t>مهارات الحاسب</t>
        </is>
      </c>
      <c r="B25" s="13" t="inlineStr">
        <is>
          <t>MS Word, PowerPoint, Excel, Web surfing, ICDL</t>
        </is>
      </c>
    </row>
    <row r="26">
      <c r="A26" s="12" t="inlineStr">
        <is>
          <t>المهارات الإدارية</t>
        </is>
      </c>
      <c r="B26" s="13" t="inlineStr">
        <is>
          <t>Prepare production plan, Monitoring productivity, Monitoring mechanical maintenance work, Supervision of production line</t>
        </is>
      </c>
    </row>
    <row r="27">
      <c r="A27" s="12" t="inlineStr">
        <is>
          <t>المهارات الشخصية</t>
        </is>
      </c>
      <c r="B27" s="13" t="inlineStr">
        <is>
          <t>Communication</t>
        </is>
      </c>
    </row>
    <row r="28">
      <c r="A28" s="12" t="inlineStr">
        <is>
          <t>مهارات أخرى</t>
        </is>
      </c>
      <c r="B28" s="13" t="inlineStr">
        <is>
          <t>—</t>
        </is>
      </c>
    </row>
    <row r="29">
      <c r="A29" s="11" t="inlineStr">
        <is>
          <t>الخبرات السابقة</t>
        </is>
      </c>
    </row>
    <row r="30">
      <c r="A30" s="12" t="inlineStr">
        <is>
          <t>الوظائف السابقة</t>
        </is>
      </c>
      <c r="B30" s="13" t="inlineStr">
        <is>
          <t>Head of production management, Chemist, Trainee</t>
        </is>
      </c>
    </row>
    <row r="31">
      <c r="A31" s="12" t="inlineStr">
        <is>
          <t>القطاعات / الصناعات</t>
        </is>
      </c>
      <c r="B31" s="13" t="inlineStr">
        <is>
          <t>Plastic Manufacturing, Acrylic Industry, Glass Industry, Pharmaceuticals, Medical Lab</t>
        </is>
      </c>
    </row>
    <row r="32">
      <c r="A32" s="12" t="inlineStr">
        <is>
          <t>الشركات السابقة</t>
        </is>
      </c>
      <c r="B32" s="13" t="inlineStr">
        <is>
          <t>Trust columns group, CMB Group, National company for glass and crystal, Gedco Pharmaceuticals, Analytical medical lab (ALTRA Lab)</t>
        </is>
      </c>
    </row>
    <row r="33">
      <c r="A33" s="12" t="inlineStr">
        <is>
          <t>الملخص المهني</t>
        </is>
      </c>
      <c r="B33" s="13" t="inlineStr">
        <is>
          <t>An internship in the field of BSc of science department of chemistry &amp; Botany, where my academic background and communication skills can be applied and further enhanced.</t>
        </is>
      </c>
    </row>
    <row r="34">
      <c r="A34" s="11" t="inlineStr">
        <is>
          <t>التوظيف والملاحظات</t>
        </is>
      </c>
    </row>
    <row r="35">
      <c r="A35" s="12" t="inlineStr">
        <is>
          <t>ملاحظات مسؤول التوظيف</t>
        </is>
      </c>
      <c r="B35" s="13" t="inlineStr">
        <is>
          <t>—</t>
        </is>
      </c>
    </row>
    <row r="36">
      <c r="A36" s="12" t="inlineStr">
        <is>
          <t>ملف المصدر</t>
        </is>
      </c>
      <c r="B36" s="13" t="inlineStr">
        <is>
          <t>my nCV 2026 .pdf</t>
        </is>
      </c>
    </row>
    <row r="37">
      <c r="A37" s="12" t="inlineStr">
        <is>
          <t>تاريخ الإضافة</t>
        </is>
      </c>
      <c r="B37" s="13" t="inlineStr">
        <is>
          <t>2026-09-30 17:20</t>
        </is>
      </c>
    </row>
  </sheetData>
  <mergeCells count="6">
    <mergeCell ref="A4:B4"/>
    <mergeCell ref="A21:B21"/>
    <mergeCell ref="A2:B2"/>
    <mergeCell ref="A29:B29"/>
    <mergeCell ref="A1:B1"/>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2026-09-30T17:26:35Z</dcterms:created>
  <dcterms:modified xmlns:dcterms="http://purl.org/dc/terms/" xmlns:xsi="http://www.w3.org/2001/XMLSchema-instance" xsi:type="dcterms:W3CDTF">2026-09-30T17:26:36Z</dcterms:modified>
</cp:coreProperties>
</file>